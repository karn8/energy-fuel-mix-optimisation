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spearxz/Downloads/"/>
    </mc:Choice>
  </mc:AlternateContent>
  <xr:revisionPtr revIDLastSave="0" documentId="8_{0A459256-8950-4708-B4F0-202AF9431F3B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Final" sheetId="39" r:id="rId1"/>
    <sheet name="Sensitivity Report 1" sheetId="43" r:id="rId2"/>
    <sheet name="Answer Report 1" sheetId="42" r:id="rId3"/>
    <sheet name="CO2 20€" sheetId="44" r:id="rId4"/>
    <sheet name="CO2 30€" sheetId="45" r:id="rId5"/>
    <sheet name="SO2 30£" sheetId="47" r:id="rId6"/>
    <sheet name="SO2 40£" sheetId="48" r:id="rId7"/>
    <sheet name="SO2 50£" sheetId="49" r:id="rId8"/>
    <sheet name="FGD wet limstone" sheetId="50" r:id="rId9"/>
    <sheet name="period for FGD wet limstone" sheetId="51" r:id="rId10"/>
    <sheet name="scenario FGD DSI " sheetId="52" r:id="rId11"/>
    <sheet name="period for DSI" sheetId="53" r:id="rId12"/>
    <sheet name="Params" sheetId="1" r:id="rId13"/>
    <sheet name="Prices" sheetId="2" r:id="rId14"/>
    <sheet name="Calendar" sheetId="3" r:id="rId15"/>
    <sheet name="Decisions" sheetId="4" r:id="rId16"/>
  </sheets>
  <definedNames>
    <definedName name="solver_adj" localSheetId="3" hidden="1">'CO2 20€'!$D$7:$H$26</definedName>
    <definedName name="solver_adj" localSheetId="4" hidden="1">'CO2 30€'!$D$7:$H$26</definedName>
    <definedName name="solver_adj" localSheetId="15" hidden="1">Decisions!$E$7:$I$26</definedName>
    <definedName name="solver_adj" localSheetId="0" hidden="1">Final!$D$7:$H$26</definedName>
    <definedName name="solver_adj" localSheetId="5" hidden="1">'SO2 30£'!$D$7:$H$26</definedName>
    <definedName name="solver_adj" localSheetId="6" hidden="1">'SO2 40£'!$D$7:$H$26</definedName>
    <definedName name="solver_adj" localSheetId="7" hidden="1">'SO2 50£'!$D$7:$H$26</definedName>
    <definedName name="solver_cvg" localSheetId="3" hidden="1">0.0001</definedName>
    <definedName name="solver_cvg" localSheetId="4" hidden="1">0.0001</definedName>
    <definedName name="solver_cvg" localSheetId="15" hidden="1">0.0001</definedName>
    <definedName name="solver_cvg" localSheetId="0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drv" localSheetId="3" hidden="1">1</definedName>
    <definedName name="solver_drv" localSheetId="4" hidden="1">1</definedName>
    <definedName name="solver_drv" localSheetId="15" hidden="1">1</definedName>
    <definedName name="solver_drv" localSheetId="0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eng" localSheetId="3" hidden="1">2</definedName>
    <definedName name="solver_eng" localSheetId="4" hidden="1">2</definedName>
    <definedName name="solver_eng" localSheetId="15" hidden="1">2</definedName>
    <definedName name="solver_eng" localSheetId="0" hidden="1">2</definedName>
    <definedName name="solver_eng" localSheetId="5" hidden="1">2</definedName>
    <definedName name="solver_eng" localSheetId="6" hidden="1">1</definedName>
    <definedName name="solver_eng" localSheetId="7" hidden="1">2</definedName>
    <definedName name="solver_itr" localSheetId="3" hidden="1">2147483647</definedName>
    <definedName name="solver_itr" localSheetId="4" hidden="1">2147483647</definedName>
    <definedName name="solver_itr" localSheetId="15" hidden="1">2147483647</definedName>
    <definedName name="solver_itr" localSheetId="0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lhs1" localSheetId="3" hidden="1">'CO2 20€'!$D$27</definedName>
    <definedName name="solver_lhs1" localSheetId="4" hidden="1">'CO2 30€'!$D$27</definedName>
    <definedName name="solver_lhs1" localSheetId="15" hidden="1">Decisions!$B$29</definedName>
    <definedName name="solver_lhs1" localSheetId="0" hidden="1">Final!$D$27</definedName>
    <definedName name="solver_lhs1" localSheetId="5" hidden="1">'SO2 30£'!$D$27</definedName>
    <definedName name="solver_lhs1" localSheetId="6" hidden="1">'SO2 40£'!$D$27</definedName>
    <definedName name="solver_lhs1" localSheetId="7" hidden="1">'SO2 50£'!$D$27</definedName>
    <definedName name="solver_lhs2" localSheetId="3" hidden="1">'CO2 20€'!$E$7:$G$18</definedName>
    <definedName name="solver_lhs2" localSheetId="4" hidden="1">'CO2 30€'!$E$7:$G$18</definedName>
    <definedName name="solver_lhs2" localSheetId="15" hidden="1">Decisions!$B$31</definedName>
    <definedName name="solver_lhs2" localSheetId="0" hidden="1">Final!$E$7:$G$18</definedName>
    <definedName name="solver_lhs2" localSheetId="5" hidden="1">'SO2 30£'!$E$7:$G$18</definedName>
    <definedName name="solver_lhs2" localSheetId="6" hidden="1">'SO2 40£'!$E$7:$G$18</definedName>
    <definedName name="solver_lhs2" localSheetId="7" hidden="1">'SO2 50£'!$E$7:$G$18</definedName>
    <definedName name="solver_lhs3" localSheetId="3" hidden="1">'CO2 20€'!$J$7:$J$26</definedName>
    <definedName name="solver_lhs3" localSheetId="4" hidden="1">'CO2 30€'!$J$7:$J$26</definedName>
    <definedName name="solver_lhs3" localSheetId="15" hidden="1">Decisions!$B$32:$B$51</definedName>
    <definedName name="solver_lhs3" localSheetId="0" hidden="1">Final!$J$7:$J$26</definedName>
    <definedName name="solver_lhs3" localSheetId="5" hidden="1">'SO2 30£'!$J$7:$J$26</definedName>
    <definedName name="solver_lhs3" localSheetId="6" hidden="1">'SO2 40£'!$J$7:$J$26</definedName>
    <definedName name="solver_lhs3" localSheetId="7" hidden="1">'SO2 50£'!$J$7:$J$26</definedName>
    <definedName name="solver_lhs4" localSheetId="3" hidden="1">'CO2 20€'!$T$27</definedName>
    <definedName name="solver_lhs4" localSheetId="4" hidden="1">'CO2 30€'!$T$27</definedName>
    <definedName name="solver_lhs4" localSheetId="15" hidden="1">Decisions!$B$52:$B$71</definedName>
    <definedName name="solver_lhs4" localSheetId="0" hidden="1">Final!$T$27</definedName>
    <definedName name="solver_lhs4" localSheetId="5" hidden="1">'SO2 30£'!$Y$7:$Y$26</definedName>
    <definedName name="solver_lhs4" localSheetId="6" hidden="1">'SO2 40£'!$Y$7:$Y$26</definedName>
    <definedName name="solver_lhs4" localSheetId="7" hidden="1">'SO2 50£'!$Y$7:$Y$26</definedName>
    <definedName name="solver_lhs5" localSheetId="3" hidden="1">'CO2 20€'!$Y$7:$Y$26</definedName>
    <definedName name="solver_lhs5" localSheetId="4" hidden="1">'CO2 30€'!$Y$7:$Y$26</definedName>
    <definedName name="solver_lhs5" localSheetId="15" hidden="1">Decisions!$F$7:$H$18</definedName>
    <definedName name="solver_lhs5" localSheetId="0" hidden="1">Final!$Y$7:$Y$26</definedName>
    <definedName name="solver_lhs6" localSheetId="15" hidden="1">Decisions!$K$7:$K$26</definedName>
    <definedName name="solver_lin" localSheetId="3" hidden="1">1</definedName>
    <definedName name="solver_lin" localSheetId="4" hidden="1">1</definedName>
    <definedName name="solver_lin" localSheetId="15" hidden="1">1</definedName>
    <definedName name="solver_lin" localSheetId="0" hidden="1">1</definedName>
    <definedName name="solver_lin" localSheetId="5" hidden="1">1</definedName>
    <definedName name="solver_lin" localSheetId="6" hidden="1">2</definedName>
    <definedName name="solver_lin" localSheetId="7" hidden="1">1</definedName>
    <definedName name="solver_mip" localSheetId="3" hidden="1">2147483647</definedName>
    <definedName name="solver_mip" localSheetId="4" hidden="1">2147483647</definedName>
    <definedName name="solver_mip" localSheetId="15" hidden="1">2147483647</definedName>
    <definedName name="solver_mip" localSheetId="0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ni" localSheetId="3" hidden="1">30</definedName>
    <definedName name="solver_mni" localSheetId="4" hidden="1">30</definedName>
    <definedName name="solver_mni" localSheetId="15" hidden="1">30</definedName>
    <definedName name="solver_mni" localSheetId="0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rt" localSheetId="3" hidden="1">0.075</definedName>
    <definedName name="solver_mrt" localSheetId="4" hidden="1">0.075</definedName>
    <definedName name="solver_mrt" localSheetId="15" hidden="1">0.075</definedName>
    <definedName name="solver_mrt" localSheetId="0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sl" localSheetId="3" hidden="1">2</definedName>
    <definedName name="solver_msl" localSheetId="4" hidden="1">2</definedName>
    <definedName name="solver_msl" localSheetId="15" hidden="1">2</definedName>
    <definedName name="solver_msl" localSheetId="0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neg" localSheetId="3" hidden="1">1</definedName>
    <definedName name="solver_neg" localSheetId="4" hidden="1">1</definedName>
    <definedName name="solver_neg" localSheetId="15" hidden="1">1</definedName>
    <definedName name="solver_neg" localSheetId="0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od" localSheetId="3" hidden="1">2147483647</definedName>
    <definedName name="solver_nod" localSheetId="4" hidden="1">2147483647</definedName>
    <definedName name="solver_nod" localSheetId="15" hidden="1">2147483647</definedName>
    <definedName name="solver_nod" localSheetId="0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um" localSheetId="3" hidden="1">5</definedName>
    <definedName name="solver_num" localSheetId="4" hidden="1">5</definedName>
    <definedName name="solver_num" localSheetId="15" hidden="1">5</definedName>
    <definedName name="solver_num" localSheetId="0" hidden="1">5</definedName>
    <definedName name="solver_num" localSheetId="5" hidden="1">4</definedName>
    <definedName name="solver_num" localSheetId="6" hidden="1">4</definedName>
    <definedName name="solver_num" localSheetId="7" hidden="1">4</definedName>
    <definedName name="solver_opt" localSheetId="3" hidden="1">'CO2 20€'!$R$27</definedName>
    <definedName name="solver_opt" localSheetId="4" hidden="1">'CO2 30€'!$R$27</definedName>
    <definedName name="solver_opt" localSheetId="15" hidden="1">Decisions!$B$28</definedName>
    <definedName name="solver_opt" localSheetId="0" hidden="1">Final!$R$27</definedName>
    <definedName name="solver_opt" localSheetId="5" hidden="1">'SO2 30£'!$R$27</definedName>
    <definedName name="solver_opt" localSheetId="6" hidden="1">'SO2 40£'!$R$27</definedName>
    <definedName name="solver_opt" localSheetId="7" hidden="1">'SO2 50£'!$R$27</definedName>
    <definedName name="solver_pre" localSheetId="3" hidden="1">0.000001</definedName>
    <definedName name="solver_pre" localSheetId="4" hidden="1">0.000001</definedName>
    <definedName name="solver_pre" localSheetId="15" hidden="1">0.000001</definedName>
    <definedName name="solver_pre" localSheetId="0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rbv" localSheetId="3" hidden="1">1</definedName>
    <definedName name="solver_rbv" localSheetId="4" hidden="1">1</definedName>
    <definedName name="solver_rbv" localSheetId="15" hidden="1">1</definedName>
    <definedName name="solver_rbv" localSheetId="0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el1" localSheetId="3" hidden="1">1</definedName>
    <definedName name="solver_rel1" localSheetId="4" hidden="1">1</definedName>
    <definedName name="solver_rel1" localSheetId="15" hidden="1">1</definedName>
    <definedName name="solver_rel1" localSheetId="0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2" localSheetId="3" hidden="1">2</definedName>
    <definedName name="solver_rel2" localSheetId="4" hidden="1">2</definedName>
    <definedName name="solver_rel2" localSheetId="15" hidden="1">1</definedName>
    <definedName name="solver_rel2" localSheetId="0" hidden="1">2</definedName>
    <definedName name="solver_rel2" localSheetId="5" hidden="1">2</definedName>
    <definedName name="solver_rel2" localSheetId="6" hidden="1">2</definedName>
    <definedName name="solver_rel2" localSheetId="7" hidden="1">2</definedName>
    <definedName name="solver_rel3" localSheetId="3" hidden="1">1</definedName>
    <definedName name="solver_rel3" localSheetId="4" hidden="1">1</definedName>
    <definedName name="solver_rel3" localSheetId="15" hidden="1">1</definedName>
    <definedName name="solver_rel3" localSheetId="0" hidden="1">1</definedName>
    <definedName name="solver_rel3" localSheetId="5" hidden="1">1</definedName>
    <definedName name="solver_rel3" localSheetId="6" hidden="1">1</definedName>
    <definedName name="solver_rel3" localSheetId="7" hidden="1">1</definedName>
    <definedName name="solver_rel4" localSheetId="3" hidden="1">1</definedName>
    <definedName name="solver_rel4" localSheetId="4" hidden="1">1</definedName>
    <definedName name="solver_rel4" localSheetId="15" hidden="1">1</definedName>
    <definedName name="solver_rel4" localSheetId="0" hidden="1">1</definedName>
    <definedName name="solver_rel4" localSheetId="5" hidden="1">1</definedName>
    <definedName name="solver_rel4" localSheetId="6" hidden="1">1</definedName>
    <definedName name="solver_rel4" localSheetId="7" hidden="1">1</definedName>
    <definedName name="solver_rel5" localSheetId="3" hidden="1">1</definedName>
    <definedName name="solver_rel5" localSheetId="4" hidden="1">1</definedName>
    <definedName name="solver_rel5" localSheetId="15" hidden="1">2</definedName>
    <definedName name="solver_rel5" localSheetId="0" hidden="1">1</definedName>
    <definedName name="solver_rel6" localSheetId="15" hidden="1">3</definedName>
    <definedName name="solver_rhs1" localSheetId="3" hidden="1">'CO2 20€'!$K$38</definedName>
    <definedName name="solver_rhs1" localSheetId="4" hidden="1">'CO2 30€'!$K$38</definedName>
    <definedName name="solver_rhs1" localSheetId="15" hidden="1">Decisions!$D$29</definedName>
    <definedName name="solver_rhs1" localSheetId="0" hidden="1">Final!$K$38</definedName>
    <definedName name="solver_rhs1" localSheetId="5" hidden="1">'SO2 30£'!$K$38</definedName>
    <definedName name="solver_rhs1" localSheetId="6" hidden="1">'SO2 40£'!$K$38</definedName>
    <definedName name="solver_rhs1" localSheetId="7" hidden="1">'SO2 50£'!$K$38</definedName>
    <definedName name="solver_rhs2" localSheetId="3" hidden="1">0</definedName>
    <definedName name="solver_rhs2" localSheetId="4" hidden="1">0</definedName>
    <definedName name="solver_rhs2" localSheetId="15" hidden="1">Decisions!$D$31</definedName>
    <definedName name="solver_rhs2" localSheetId="0" hidden="1">0</definedName>
    <definedName name="solver_rhs2" localSheetId="5" hidden="1">0</definedName>
    <definedName name="solver_rhs2" localSheetId="6" hidden="1">0</definedName>
    <definedName name="solver_rhs2" localSheetId="7" hidden="1">0</definedName>
    <definedName name="solver_rhs3" localSheetId="3" hidden="1">'CO2 20€'!$C$7:$C$26</definedName>
    <definedName name="solver_rhs3" localSheetId="4" hidden="1">'CO2 30€'!$C$7:$C$26</definedName>
    <definedName name="solver_rhs3" localSheetId="15" hidden="1">Decisions!$D$32:$D$51</definedName>
    <definedName name="solver_rhs3" localSheetId="0" hidden="1">Final!$C$7:$C$26</definedName>
    <definedName name="solver_rhs3" localSheetId="5" hidden="1">'SO2 30£'!$C$7:$C$26</definedName>
    <definedName name="solver_rhs3" localSheetId="6" hidden="1">'SO2 40£'!$C$7:$C$26</definedName>
    <definedName name="solver_rhs3" localSheetId="7" hidden="1">'SO2 50£'!$C$7:$C$26</definedName>
    <definedName name="solver_rhs4" localSheetId="3" hidden="1">'CO2 20€'!$K$37</definedName>
    <definedName name="solver_rhs4" localSheetId="4" hidden="1">'CO2 30€'!$K$37</definedName>
    <definedName name="solver_rhs4" localSheetId="15" hidden="1">0</definedName>
    <definedName name="solver_rhs4" localSheetId="0" hidden="1">Final!$K$37</definedName>
    <definedName name="solver_rhs4" localSheetId="5" hidden="1">0</definedName>
    <definedName name="solver_rhs4" localSheetId="6" hidden="1">0</definedName>
    <definedName name="solver_rhs4" localSheetId="7" hidden="1">0</definedName>
    <definedName name="solver_rhs5" localSheetId="3" hidden="1">0</definedName>
    <definedName name="solver_rhs5" localSheetId="4" hidden="1">0</definedName>
    <definedName name="solver_rhs5" localSheetId="15" hidden="1">0</definedName>
    <definedName name="solver_rhs5" localSheetId="0" hidden="1">0</definedName>
    <definedName name="solver_rhs6" localSheetId="15" hidden="1">1000</definedName>
    <definedName name="solver_rlx" localSheetId="3" hidden="1">2</definedName>
    <definedName name="solver_rlx" localSheetId="4" hidden="1">2</definedName>
    <definedName name="solver_rlx" localSheetId="15" hidden="1">1</definedName>
    <definedName name="solver_rlx" localSheetId="0" hidden="1">1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sd" localSheetId="3" hidden="1">0</definedName>
    <definedName name="solver_rsd" localSheetId="4" hidden="1">0</definedName>
    <definedName name="solver_rsd" localSheetId="15" hidden="1">0</definedName>
    <definedName name="solver_rsd" localSheetId="0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scl" localSheetId="3" hidden="1">1</definedName>
    <definedName name="solver_scl" localSheetId="4" hidden="1">1</definedName>
    <definedName name="solver_scl" localSheetId="15" hidden="1">2</definedName>
    <definedName name="solver_scl" localSheetId="0" hidden="1">2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ho" localSheetId="3" hidden="1">2</definedName>
    <definedName name="solver_sho" localSheetId="4" hidden="1">2</definedName>
    <definedName name="solver_sho" localSheetId="15" hidden="1">2</definedName>
    <definedName name="solver_sho" localSheetId="0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sz" localSheetId="3" hidden="1">100</definedName>
    <definedName name="solver_ssz" localSheetId="4" hidden="1">100</definedName>
    <definedName name="solver_ssz" localSheetId="15" hidden="1">100</definedName>
    <definedName name="solver_ssz" localSheetId="0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tim" localSheetId="3" hidden="1">2147483647</definedName>
    <definedName name="solver_tim" localSheetId="4" hidden="1">2147483647</definedName>
    <definedName name="solver_tim" localSheetId="15" hidden="1">2147483647</definedName>
    <definedName name="solver_tim" localSheetId="0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ol" localSheetId="3" hidden="1">0.01</definedName>
    <definedName name="solver_tol" localSheetId="4" hidden="1">0.01</definedName>
    <definedName name="solver_tol" localSheetId="15" hidden="1">0.01</definedName>
    <definedName name="solver_tol" localSheetId="0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yp" localSheetId="3" hidden="1">1</definedName>
    <definedName name="solver_typ" localSheetId="4" hidden="1">1</definedName>
    <definedName name="solver_typ" localSheetId="15" hidden="1">1</definedName>
    <definedName name="solver_typ" localSheetId="0" hidden="1">1</definedName>
    <definedName name="solver_typ" localSheetId="5" hidden="1">1</definedName>
    <definedName name="solver_typ" localSheetId="6" hidden="1">1</definedName>
    <definedName name="solver_typ" localSheetId="7" hidden="1">1</definedName>
    <definedName name="solver_val" localSheetId="3" hidden="1">0</definedName>
    <definedName name="solver_val" localSheetId="4" hidden="1">0</definedName>
    <definedName name="solver_val" localSheetId="15" hidden="1">0</definedName>
    <definedName name="solver_val" localSheetId="0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er" localSheetId="3" hidden="1">2</definedName>
    <definedName name="solver_ver" localSheetId="4" hidden="1">2</definedName>
    <definedName name="solver_ver" localSheetId="15" hidden="1">2</definedName>
    <definedName name="solver_ver" localSheetId="0" hidden="1">2</definedName>
    <definedName name="solver_ver" localSheetId="5" hidden="1">2</definedName>
    <definedName name="solver_ver" localSheetId="6" hidden="1">2</definedName>
    <definedName name="solver_ver" localSheetId="7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8" i="53" l="1"/>
  <c r="U61" i="53"/>
  <c r="Q62" i="53"/>
  <c r="U64" i="53"/>
  <c r="Q65" i="53"/>
  <c r="R65" i="53"/>
  <c r="U66" i="53"/>
  <c r="U69" i="53"/>
  <c r="Q70" i="53"/>
  <c r="R70" i="53"/>
  <c r="U71" i="53"/>
  <c r="U72" i="53"/>
  <c r="Q73" i="53"/>
  <c r="R73" i="53"/>
  <c r="S73" i="53"/>
  <c r="U74" i="53"/>
  <c r="Q75" i="53"/>
  <c r="L38" i="53"/>
  <c r="L39" i="53"/>
  <c r="L40" i="53"/>
  <c r="L41" i="53"/>
  <c r="L42" i="53"/>
  <c r="L28" i="53"/>
  <c r="Q57" i="53" s="1"/>
  <c r="L29" i="53"/>
  <c r="R57" i="53" s="1"/>
  <c r="L30" i="53"/>
  <c r="S57" i="53" s="1"/>
  <c r="L31" i="53"/>
  <c r="T58" i="53" s="1"/>
  <c r="L32" i="53"/>
  <c r="U63" i="53" s="1"/>
  <c r="F3" i="53"/>
  <c r="G3" i="53"/>
  <c r="B4" i="53"/>
  <c r="F4" i="53"/>
  <c r="G4" i="53"/>
  <c r="B5" i="53"/>
  <c r="C5" i="53"/>
  <c r="D5" i="53"/>
  <c r="F5" i="53"/>
  <c r="G5" i="53"/>
  <c r="F6" i="53"/>
  <c r="G6" i="53"/>
  <c r="F7" i="53"/>
  <c r="G7" i="53"/>
  <c r="B8" i="53"/>
  <c r="F8" i="53"/>
  <c r="G8" i="53"/>
  <c r="B9" i="53"/>
  <c r="C9" i="53"/>
  <c r="D9" i="53"/>
  <c r="F9" i="53"/>
  <c r="G9" i="53"/>
  <c r="F10" i="53"/>
  <c r="G10" i="53"/>
  <c r="F11" i="53"/>
  <c r="G11" i="53"/>
  <c r="B12" i="53"/>
  <c r="F12" i="53"/>
  <c r="G12" i="53"/>
  <c r="B13" i="53"/>
  <c r="C13" i="53"/>
  <c r="D13" i="53"/>
  <c r="F13" i="53"/>
  <c r="G13" i="53"/>
  <c r="F14" i="53"/>
  <c r="G14" i="53"/>
  <c r="F15" i="53"/>
  <c r="G15" i="53"/>
  <c r="B16" i="53"/>
  <c r="F16" i="53"/>
  <c r="G16" i="53"/>
  <c r="B17" i="53"/>
  <c r="C17" i="53"/>
  <c r="D17" i="53"/>
  <c r="F17" i="53"/>
  <c r="G17" i="53"/>
  <c r="F18" i="53"/>
  <c r="G18" i="53"/>
  <c r="F19" i="53"/>
  <c r="G19" i="53"/>
  <c r="B20" i="53"/>
  <c r="F20" i="53"/>
  <c r="G20" i="53"/>
  <c r="B21" i="53"/>
  <c r="C21" i="53"/>
  <c r="D21" i="53"/>
  <c r="F21" i="53"/>
  <c r="G21" i="53"/>
  <c r="F22" i="53"/>
  <c r="G22" i="53"/>
  <c r="I72" i="52"/>
  <c r="G73" i="52"/>
  <c r="I73" i="52"/>
  <c r="G74" i="52"/>
  <c r="I74" i="52"/>
  <c r="G75" i="52"/>
  <c r="I75" i="52"/>
  <c r="G76" i="52"/>
  <c r="I76" i="52"/>
  <c r="G77" i="52"/>
  <c r="I77" i="52"/>
  <c r="G78" i="52"/>
  <c r="I78" i="52"/>
  <c r="G79" i="52"/>
  <c r="I79" i="52"/>
  <c r="G80" i="52"/>
  <c r="I80" i="52"/>
  <c r="G81" i="52"/>
  <c r="I81" i="52"/>
  <c r="G82" i="52"/>
  <c r="I82" i="52"/>
  <c r="G83" i="52"/>
  <c r="I83" i="52"/>
  <c r="G84" i="52"/>
  <c r="I84" i="52"/>
  <c r="G85" i="52"/>
  <c r="I85" i="52"/>
  <c r="G86" i="52"/>
  <c r="I86" i="52"/>
  <c r="G87" i="52"/>
  <c r="I87" i="52"/>
  <c r="G88" i="52"/>
  <c r="I88" i="52"/>
  <c r="G89" i="52"/>
  <c r="I89" i="52"/>
  <c r="G90" i="52"/>
  <c r="I90" i="52"/>
  <c r="G91" i="52"/>
  <c r="I91" i="52"/>
  <c r="G96" i="52"/>
  <c r="I96" i="52"/>
  <c r="K96" i="52" s="1"/>
  <c r="G97" i="52"/>
  <c r="I97" i="52"/>
  <c r="K97" i="52"/>
  <c r="L97" i="52" s="1"/>
  <c r="N97" i="52"/>
  <c r="G98" i="52"/>
  <c r="I98" i="52"/>
  <c r="N98" i="52" s="1"/>
  <c r="G99" i="52"/>
  <c r="I99" i="52"/>
  <c r="N99" i="52" s="1"/>
  <c r="K99" i="52"/>
  <c r="L99" i="52" s="1"/>
  <c r="G100" i="52"/>
  <c r="I100" i="52"/>
  <c r="K100" i="52" s="1"/>
  <c r="G101" i="52"/>
  <c r="I101" i="52"/>
  <c r="K101" i="52"/>
  <c r="L101" i="52" s="1"/>
  <c r="N101" i="52"/>
  <c r="G102" i="52"/>
  <c r="I102" i="52"/>
  <c r="K102" i="52" s="1"/>
  <c r="G103" i="52"/>
  <c r="I103" i="52"/>
  <c r="K103" i="52"/>
  <c r="L103" i="52" s="1"/>
  <c r="N103" i="52"/>
  <c r="G104" i="52"/>
  <c r="I104" i="52"/>
  <c r="N105" i="52" s="1"/>
  <c r="G105" i="52"/>
  <c r="I105" i="52"/>
  <c r="K105" i="52"/>
  <c r="G106" i="52"/>
  <c r="I106" i="52"/>
  <c r="N106" i="52" s="1"/>
  <c r="G107" i="52"/>
  <c r="I107" i="52"/>
  <c r="N107" i="52" s="1"/>
  <c r="K107" i="52"/>
  <c r="L107" i="52" s="1"/>
  <c r="G108" i="52"/>
  <c r="I108" i="52"/>
  <c r="K108" i="52" s="1"/>
  <c r="G109" i="52"/>
  <c r="I109" i="52"/>
  <c r="K109" i="52"/>
  <c r="L109" i="52" s="1"/>
  <c r="N109" i="52"/>
  <c r="G110" i="52"/>
  <c r="I110" i="52"/>
  <c r="K110" i="52" s="1"/>
  <c r="G111" i="52"/>
  <c r="I111" i="52"/>
  <c r="K111" i="52"/>
  <c r="L111" i="52" s="1"/>
  <c r="N111" i="52"/>
  <c r="G112" i="52"/>
  <c r="I112" i="52"/>
  <c r="K112" i="52" s="1"/>
  <c r="G113" i="52"/>
  <c r="I113" i="52"/>
  <c r="K113" i="52"/>
  <c r="L113" i="52" s="1"/>
  <c r="N113" i="52"/>
  <c r="G114" i="52"/>
  <c r="I114" i="52"/>
  <c r="N114" i="52" s="1"/>
  <c r="G115" i="52"/>
  <c r="I115" i="52"/>
  <c r="N115" i="52" s="1"/>
  <c r="K115" i="52"/>
  <c r="L115" i="52" s="1"/>
  <c r="H38" i="52"/>
  <c r="G6" i="52"/>
  <c r="G7" i="52"/>
  <c r="G8" i="52"/>
  <c r="G9" i="52"/>
  <c r="G10" i="52"/>
  <c r="G11" i="52"/>
  <c r="G12" i="52"/>
  <c r="G13" i="52"/>
  <c r="G14" i="52"/>
  <c r="G15" i="52"/>
  <c r="G16" i="52"/>
  <c r="G17" i="52"/>
  <c r="G18" i="52"/>
  <c r="G19" i="52"/>
  <c r="G20" i="52"/>
  <c r="G21" i="52"/>
  <c r="G22" i="52"/>
  <c r="G23" i="52"/>
  <c r="G24" i="52"/>
  <c r="G25" i="52"/>
  <c r="B26" i="52"/>
  <c r="G92" i="52" s="1"/>
  <c r="C26" i="52"/>
  <c r="D26" i="52"/>
  <c r="E26" i="52"/>
  <c r="F26" i="52"/>
  <c r="G72" i="52" s="1"/>
  <c r="S58" i="51"/>
  <c r="T58" i="51"/>
  <c r="U58" i="51"/>
  <c r="V58" i="51"/>
  <c r="S59" i="51"/>
  <c r="T59" i="51"/>
  <c r="S60" i="51"/>
  <c r="T60" i="51"/>
  <c r="U60" i="51"/>
  <c r="V60" i="51"/>
  <c r="R61" i="51"/>
  <c r="S62" i="51"/>
  <c r="T62" i="51"/>
  <c r="U62" i="51"/>
  <c r="S63" i="51"/>
  <c r="T63" i="51"/>
  <c r="U63" i="51"/>
  <c r="V63" i="51"/>
  <c r="S64" i="51"/>
  <c r="S65" i="51"/>
  <c r="T65" i="51"/>
  <c r="U65" i="51"/>
  <c r="V65" i="51"/>
  <c r="S66" i="51"/>
  <c r="T66" i="51"/>
  <c r="U66" i="51"/>
  <c r="V66" i="51"/>
  <c r="S67" i="51"/>
  <c r="T67" i="51"/>
  <c r="S68" i="51"/>
  <c r="T68" i="51"/>
  <c r="U68" i="51"/>
  <c r="V68" i="51"/>
  <c r="S70" i="51"/>
  <c r="T70" i="51"/>
  <c r="U70" i="51"/>
  <c r="S71" i="51"/>
  <c r="T71" i="51"/>
  <c r="U71" i="51"/>
  <c r="V71" i="51"/>
  <c r="S72" i="51"/>
  <c r="S73" i="51"/>
  <c r="T73" i="51"/>
  <c r="U73" i="51"/>
  <c r="V73" i="51"/>
  <c r="S74" i="51"/>
  <c r="T74" i="51"/>
  <c r="U74" i="51"/>
  <c r="V74" i="51"/>
  <c r="S75" i="51"/>
  <c r="T75" i="51"/>
  <c r="S76" i="51"/>
  <c r="T76" i="51"/>
  <c r="U76" i="51"/>
  <c r="V76" i="51"/>
  <c r="L38" i="51"/>
  <c r="L39" i="51"/>
  <c r="L40" i="51"/>
  <c r="L41" i="51"/>
  <c r="L42" i="51"/>
  <c r="L28" i="51"/>
  <c r="R58" i="51" s="1"/>
  <c r="L29" i="51"/>
  <c r="S61" i="51" s="1"/>
  <c r="L30" i="51"/>
  <c r="T64" i="51" s="1"/>
  <c r="L31" i="51"/>
  <c r="U59" i="51" s="1"/>
  <c r="L32" i="51"/>
  <c r="V62" i="51" s="1"/>
  <c r="C3" i="51"/>
  <c r="D3" i="51"/>
  <c r="E3" i="51"/>
  <c r="G3" i="51"/>
  <c r="C4" i="51"/>
  <c r="D4" i="51"/>
  <c r="E4" i="51"/>
  <c r="F4" i="51"/>
  <c r="G4" i="51"/>
  <c r="C5" i="51"/>
  <c r="D5" i="51"/>
  <c r="E5" i="51"/>
  <c r="F5" i="51"/>
  <c r="G5" i="51"/>
  <c r="C6" i="51"/>
  <c r="G6" i="51"/>
  <c r="C7" i="51"/>
  <c r="D7" i="51"/>
  <c r="E7" i="51"/>
  <c r="G7" i="51"/>
  <c r="C8" i="51"/>
  <c r="D8" i="51"/>
  <c r="E8" i="51"/>
  <c r="F8" i="51"/>
  <c r="G8" i="51"/>
  <c r="C9" i="51"/>
  <c r="D9" i="51"/>
  <c r="E9" i="51"/>
  <c r="F9" i="51"/>
  <c r="G9" i="51"/>
  <c r="C10" i="51"/>
  <c r="G10" i="51"/>
  <c r="C11" i="51"/>
  <c r="D11" i="51"/>
  <c r="E11" i="51"/>
  <c r="G11" i="51"/>
  <c r="C12" i="51"/>
  <c r="D12" i="51"/>
  <c r="E12" i="51"/>
  <c r="F12" i="51"/>
  <c r="G12" i="51"/>
  <c r="C13" i="51"/>
  <c r="D13" i="51"/>
  <c r="E13" i="51"/>
  <c r="F13" i="51"/>
  <c r="G13" i="51"/>
  <c r="C14" i="51"/>
  <c r="G14" i="51"/>
  <c r="C15" i="51"/>
  <c r="D15" i="51"/>
  <c r="E15" i="51"/>
  <c r="G15" i="51"/>
  <c r="C16" i="51"/>
  <c r="D16" i="51"/>
  <c r="E16" i="51"/>
  <c r="F16" i="51"/>
  <c r="G16" i="51"/>
  <c r="C17" i="51"/>
  <c r="D17" i="51"/>
  <c r="E17" i="51"/>
  <c r="F17" i="51"/>
  <c r="G17" i="51"/>
  <c r="C18" i="51"/>
  <c r="G18" i="51"/>
  <c r="C19" i="51"/>
  <c r="D19" i="51"/>
  <c r="E19" i="51"/>
  <c r="G19" i="51"/>
  <c r="C20" i="51"/>
  <c r="D20" i="51"/>
  <c r="E20" i="51"/>
  <c r="F20" i="51"/>
  <c r="G20" i="51"/>
  <c r="C21" i="51"/>
  <c r="D21" i="51"/>
  <c r="E21" i="51"/>
  <c r="F21" i="51"/>
  <c r="G21" i="51"/>
  <c r="C22" i="51"/>
  <c r="G22" i="51"/>
  <c r="I72" i="50"/>
  <c r="G73" i="50"/>
  <c r="I73" i="50"/>
  <c r="G74" i="50"/>
  <c r="I74" i="50"/>
  <c r="G75" i="50"/>
  <c r="I75" i="50"/>
  <c r="G76" i="50"/>
  <c r="I76" i="50"/>
  <c r="G77" i="50"/>
  <c r="I77" i="50"/>
  <c r="G78" i="50"/>
  <c r="I78" i="50"/>
  <c r="G79" i="50"/>
  <c r="I79" i="50"/>
  <c r="G80" i="50"/>
  <c r="I80" i="50"/>
  <c r="G81" i="50"/>
  <c r="I81" i="50"/>
  <c r="G82" i="50"/>
  <c r="I82" i="50"/>
  <c r="G83" i="50"/>
  <c r="I83" i="50"/>
  <c r="G84" i="50"/>
  <c r="I84" i="50"/>
  <c r="G85" i="50"/>
  <c r="I85" i="50"/>
  <c r="G86" i="50"/>
  <c r="I86" i="50"/>
  <c r="G87" i="50"/>
  <c r="I87" i="50"/>
  <c r="G88" i="50"/>
  <c r="I88" i="50"/>
  <c r="G89" i="50"/>
  <c r="I89" i="50"/>
  <c r="G90" i="50"/>
  <c r="I90" i="50"/>
  <c r="G91" i="50"/>
  <c r="I91" i="50"/>
  <c r="G96" i="50"/>
  <c r="I96" i="50"/>
  <c r="K96" i="50" s="1"/>
  <c r="G97" i="50"/>
  <c r="I97" i="50"/>
  <c r="K97" i="50"/>
  <c r="N97" i="50"/>
  <c r="L97" i="50" s="1"/>
  <c r="G98" i="50"/>
  <c r="I98" i="50"/>
  <c r="N98" i="50" s="1"/>
  <c r="G99" i="50"/>
  <c r="I99" i="50"/>
  <c r="K99" i="50"/>
  <c r="L99" i="50" s="1"/>
  <c r="N99" i="50"/>
  <c r="G100" i="50"/>
  <c r="I100" i="50"/>
  <c r="K100" i="50" s="1"/>
  <c r="L100" i="50" s="1"/>
  <c r="N100" i="50"/>
  <c r="G101" i="50"/>
  <c r="I101" i="50"/>
  <c r="K101" i="50"/>
  <c r="L101" i="50" s="1"/>
  <c r="N101" i="50"/>
  <c r="G102" i="50"/>
  <c r="I102" i="50"/>
  <c r="N102" i="50" s="1"/>
  <c r="L102" i="50" s="1"/>
  <c r="K102" i="50"/>
  <c r="G103" i="50"/>
  <c r="I103" i="50"/>
  <c r="N103" i="50" s="1"/>
  <c r="K103" i="50"/>
  <c r="L103" i="50" s="1"/>
  <c r="G104" i="50"/>
  <c r="I104" i="50"/>
  <c r="K104" i="50" s="1"/>
  <c r="G105" i="50"/>
  <c r="I105" i="50"/>
  <c r="K105" i="50"/>
  <c r="L105" i="50"/>
  <c r="N105" i="50"/>
  <c r="G106" i="50"/>
  <c r="I106" i="50"/>
  <c r="N106" i="50" s="1"/>
  <c r="G107" i="50"/>
  <c r="I107" i="50"/>
  <c r="K107" i="50"/>
  <c r="G108" i="50"/>
  <c r="I108" i="50"/>
  <c r="K108" i="50" s="1"/>
  <c r="L108" i="50" s="1"/>
  <c r="N108" i="50"/>
  <c r="G109" i="50"/>
  <c r="I109" i="50"/>
  <c r="K109" i="50"/>
  <c r="L109" i="50" s="1"/>
  <c r="N109" i="50"/>
  <c r="G110" i="50"/>
  <c r="I110" i="50"/>
  <c r="N110" i="50" s="1"/>
  <c r="L110" i="50" s="1"/>
  <c r="K110" i="50"/>
  <c r="G111" i="50"/>
  <c r="I111" i="50"/>
  <c r="N111" i="50" s="1"/>
  <c r="K111" i="50"/>
  <c r="G112" i="50"/>
  <c r="I112" i="50"/>
  <c r="K112" i="50" s="1"/>
  <c r="G113" i="50"/>
  <c r="I113" i="50"/>
  <c r="K113" i="50"/>
  <c r="N113" i="50"/>
  <c r="L113" i="50" s="1"/>
  <c r="G114" i="50"/>
  <c r="I114" i="50"/>
  <c r="N114" i="50" s="1"/>
  <c r="G115" i="50"/>
  <c r="I115" i="50"/>
  <c r="K115" i="50"/>
  <c r="H38" i="50"/>
  <c r="G6" i="50"/>
  <c r="G7" i="50"/>
  <c r="G8" i="50"/>
  <c r="G9" i="50"/>
  <c r="G10" i="50"/>
  <c r="G11" i="50"/>
  <c r="G12" i="50"/>
  <c r="G13" i="50"/>
  <c r="G14" i="50"/>
  <c r="G15" i="50"/>
  <c r="G16" i="50"/>
  <c r="G17" i="50"/>
  <c r="G18" i="50"/>
  <c r="G19" i="50"/>
  <c r="G20" i="50"/>
  <c r="G21" i="50"/>
  <c r="G22" i="50"/>
  <c r="G23" i="50"/>
  <c r="G24" i="50"/>
  <c r="G25" i="50"/>
  <c r="B26" i="50"/>
  <c r="G92" i="50" s="1"/>
  <c r="C26" i="50"/>
  <c r="D26" i="50"/>
  <c r="E26" i="50"/>
  <c r="F26" i="50"/>
  <c r="G72" i="50" s="1"/>
  <c r="H27" i="49"/>
  <c r="G27" i="49"/>
  <c r="F27" i="49"/>
  <c r="E27" i="49"/>
  <c r="D27" i="49"/>
  <c r="W26" i="49"/>
  <c r="T26" i="49"/>
  <c r="S26" i="49"/>
  <c r="P26" i="49"/>
  <c r="O26" i="49"/>
  <c r="N26" i="49"/>
  <c r="L26" i="49"/>
  <c r="K26" i="49"/>
  <c r="J26" i="49"/>
  <c r="Q26" i="49" s="1"/>
  <c r="I26" i="49"/>
  <c r="V26" i="49" s="1"/>
  <c r="C26" i="49"/>
  <c r="W25" i="49"/>
  <c r="T25" i="49"/>
  <c r="S25" i="49"/>
  <c r="P25" i="49"/>
  <c r="O25" i="49"/>
  <c r="N25" i="49"/>
  <c r="L25" i="49"/>
  <c r="K25" i="49"/>
  <c r="J25" i="49"/>
  <c r="Q25" i="49" s="1"/>
  <c r="I25" i="49"/>
  <c r="V25" i="49" s="1"/>
  <c r="C25" i="49"/>
  <c r="W24" i="49"/>
  <c r="T24" i="49"/>
  <c r="S24" i="49"/>
  <c r="P24" i="49"/>
  <c r="O24" i="49"/>
  <c r="N24" i="49"/>
  <c r="L24" i="49"/>
  <c r="K24" i="49"/>
  <c r="J24" i="49"/>
  <c r="Q24" i="49" s="1"/>
  <c r="I24" i="49"/>
  <c r="V24" i="49" s="1"/>
  <c r="C24" i="49"/>
  <c r="W23" i="49"/>
  <c r="T23" i="49"/>
  <c r="S23" i="49"/>
  <c r="P23" i="49"/>
  <c r="O23" i="49"/>
  <c r="N23" i="49"/>
  <c r="L23" i="49"/>
  <c r="K23" i="49"/>
  <c r="J23" i="49"/>
  <c r="Q23" i="49" s="1"/>
  <c r="I23" i="49"/>
  <c r="V23" i="49" s="1"/>
  <c r="C23" i="49"/>
  <c r="W22" i="49"/>
  <c r="T22" i="49"/>
  <c r="S22" i="49"/>
  <c r="P22" i="49"/>
  <c r="O22" i="49"/>
  <c r="N22" i="49"/>
  <c r="L22" i="49"/>
  <c r="K22" i="49"/>
  <c r="J22" i="49"/>
  <c r="Q22" i="49" s="1"/>
  <c r="I22" i="49"/>
  <c r="V22" i="49" s="1"/>
  <c r="C22" i="49"/>
  <c r="W21" i="49"/>
  <c r="T21" i="49"/>
  <c r="S21" i="49"/>
  <c r="P21" i="49"/>
  <c r="O21" i="49"/>
  <c r="N21" i="49"/>
  <c r="L21" i="49"/>
  <c r="K21" i="49"/>
  <c r="J21" i="49"/>
  <c r="Q21" i="49" s="1"/>
  <c r="I21" i="49"/>
  <c r="V21" i="49" s="1"/>
  <c r="C21" i="49"/>
  <c r="W20" i="49"/>
  <c r="T20" i="49"/>
  <c r="S20" i="49"/>
  <c r="P20" i="49"/>
  <c r="O20" i="49"/>
  <c r="N20" i="49"/>
  <c r="L20" i="49"/>
  <c r="K20" i="49"/>
  <c r="J20" i="49"/>
  <c r="Q20" i="49" s="1"/>
  <c r="I20" i="49"/>
  <c r="V20" i="49" s="1"/>
  <c r="C20" i="49"/>
  <c r="W19" i="49"/>
  <c r="T19" i="49"/>
  <c r="S19" i="49"/>
  <c r="P19" i="49"/>
  <c r="O19" i="49"/>
  <c r="N19" i="49"/>
  <c r="L19" i="49"/>
  <c r="K19" i="49"/>
  <c r="J19" i="49"/>
  <c r="Q19" i="49" s="1"/>
  <c r="I19" i="49"/>
  <c r="V19" i="49" s="1"/>
  <c r="C19" i="49"/>
  <c r="W18" i="49"/>
  <c r="T18" i="49"/>
  <c r="S18" i="49"/>
  <c r="P18" i="49"/>
  <c r="O18" i="49"/>
  <c r="N18" i="49"/>
  <c r="L18" i="49"/>
  <c r="K18" i="49"/>
  <c r="J18" i="49"/>
  <c r="Q18" i="49" s="1"/>
  <c r="I18" i="49"/>
  <c r="V18" i="49" s="1"/>
  <c r="C18" i="49"/>
  <c r="W17" i="49"/>
  <c r="T17" i="49"/>
  <c r="S17" i="49"/>
  <c r="P17" i="49"/>
  <c r="O17" i="49"/>
  <c r="N17" i="49"/>
  <c r="L17" i="49"/>
  <c r="K17" i="49"/>
  <c r="J17" i="49"/>
  <c r="Q17" i="49" s="1"/>
  <c r="I17" i="49"/>
  <c r="V17" i="49" s="1"/>
  <c r="C17" i="49"/>
  <c r="W16" i="49"/>
  <c r="T16" i="49"/>
  <c r="S16" i="49"/>
  <c r="P16" i="49"/>
  <c r="O16" i="49"/>
  <c r="N16" i="49"/>
  <c r="L16" i="49"/>
  <c r="K16" i="49"/>
  <c r="J16" i="49"/>
  <c r="Q16" i="49" s="1"/>
  <c r="I16" i="49"/>
  <c r="V16" i="49" s="1"/>
  <c r="C16" i="49"/>
  <c r="W15" i="49"/>
  <c r="T15" i="49"/>
  <c r="S15" i="49"/>
  <c r="P15" i="49"/>
  <c r="O15" i="49"/>
  <c r="N15" i="49"/>
  <c r="L15" i="49"/>
  <c r="K15" i="49"/>
  <c r="J15" i="49"/>
  <c r="Q15" i="49" s="1"/>
  <c r="I15" i="49"/>
  <c r="V15" i="49" s="1"/>
  <c r="C15" i="49"/>
  <c r="W14" i="49"/>
  <c r="T14" i="49"/>
  <c r="S14" i="49"/>
  <c r="P14" i="49"/>
  <c r="O14" i="49"/>
  <c r="N14" i="49"/>
  <c r="L14" i="49"/>
  <c r="K14" i="49"/>
  <c r="J14" i="49"/>
  <c r="M14" i="49" s="1"/>
  <c r="I14" i="49"/>
  <c r="V14" i="49" s="1"/>
  <c r="C14" i="49"/>
  <c r="W13" i="49"/>
  <c r="T13" i="49"/>
  <c r="S13" i="49"/>
  <c r="P13" i="49"/>
  <c r="O13" i="49"/>
  <c r="N13" i="49"/>
  <c r="L13" i="49"/>
  <c r="K13" i="49"/>
  <c r="J13" i="49"/>
  <c r="I13" i="49"/>
  <c r="C13" i="49"/>
  <c r="W12" i="49"/>
  <c r="T12" i="49"/>
  <c r="S12" i="49"/>
  <c r="P12" i="49"/>
  <c r="O12" i="49"/>
  <c r="N12" i="49"/>
  <c r="L12" i="49"/>
  <c r="K12" i="49"/>
  <c r="J12" i="49"/>
  <c r="Q12" i="49" s="1"/>
  <c r="I12" i="49"/>
  <c r="V12" i="49" s="1"/>
  <c r="C12" i="49"/>
  <c r="W11" i="49"/>
  <c r="T11" i="49"/>
  <c r="S11" i="49"/>
  <c r="P11" i="49"/>
  <c r="O11" i="49"/>
  <c r="N11" i="49"/>
  <c r="L11" i="49"/>
  <c r="K11" i="49"/>
  <c r="J11" i="49"/>
  <c r="Q11" i="49" s="1"/>
  <c r="I11" i="49"/>
  <c r="V11" i="49" s="1"/>
  <c r="C11" i="49"/>
  <c r="W10" i="49"/>
  <c r="T10" i="49"/>
  <c r="S10" i="49"/>
  <c r="P10" i="49"/>
  <c r="O10" i="49"/>
  <c r="N10" i="49"/>
  <c r="L10" i="49"/>
  <c r="K10" i="49"/>
  <c r="J10" i="49"/>
  <c r="I10" i="49"/>
  <c r="V10" i="49" s="1"/>
  <c r="C10" i="49"/>
  <c r="W9" i="49"/>
  <c r="T9" i="49"/>
  <c r="S9" i="49"/>
  <c r="P9" i="49"/>
  <c r="O9" i="49"/>
  <c r="N9" i="49"/>
  <c r="L9" i="49"/>
  <c r="K9" i="49"/>
  <c r="J9" i="49"/>
  <c r="Q9" i="49" s="1"/>
  <c r="I9" i="49"/>
  <c r="V9" i="49" s="1"/>
  <c r="C9" i="49"/>
  <c r="W8" i="49"/>
  <c r="T8" i="49"/>
  <c r="S8" i="49"/>
  <c r="P8" i="49"/>
  <c r="O8" i="49"/>
  <c r="N8" i="49"/>
  <c r="L8" i="49"/>
  <c r="K8" i="49"/>
  <c r="J8" i="49"/>
  <c r="Q8" i="49" s="1"/>
  <c r="I8" i="49"/>
  <c r="V8" i="49" s="1"/>
  <c r="C8" i="49"/>
  <c r="W7" i="49"/>
  <c r="T7" i="49"/>
  <c r="S7" i="49"/>
  <c r="P7" i="49"/>
  <c r="O7" i="49"/>
  <c r="N7" i="49"/>
  <c r="L7" i="49"/>
  <c r="L27" i="49" s="1"/>
  <c r="K7" i="49"/>
  <c r="J7" i="49"/>
  <c r="I7" i="49"/>
  <c r="V7" i="49" s="1"/>
  <c r="C7" i="49"/>
  <c r="C27" i="49" s="1"/>
  <c r="H27" i="48"/>
  <c r="G27" i="48"/>
  <c r="F27" i="48"/>
  <c r="E27" i="48"/>
  <c r="D27" i="48"/>
  <c r="W26" i="48"/>
  <c r="T26" i="48"/>
  <c r="S26" i="48"/>
  <c r="P26" i="48"/>
  <c r="O26" i="48"/>
  <c r="N26" i="48"/>
  <c r="L26" i="48"/>
  <c r="K26" i="48"/>
  <c r="J26" i="48"/>
  <c r="Q26" i="48" s="1"/>
  <c r="I26" i="48"/>
  <c r="V26" i="48" s="1"/>
  <c r="C26" i="48"/>
  <c r="W25" i="48"/>
  <c r="T25" i="48"/>
  <c r="S25" i="48"/>
  <c r="P25" i="48"/>
  <c r="O25" i="48"/>
  <c r="N25" i="48"/>
  <c r="L25" i="48"/>
  <c r="K25" i="48"/>
  <c r="J25" i="48"/>
  <c r="Q25" i="48" s="1"/>
  <c r="I25" i="48"/>
  <c r="V25" i="48" s="1"/>
  <c r="C25" i="48"/>
  <c r="W24" i="48"/>
  <c r="T24" i="48"/>
  <c r="S24" i="48"/>
  <c r="P24" i="48"/>
  <c r="O24" i="48"/>
  <c r="N24" i="48"/>
  <c r="L24" i="48"/>
  <c r="K24" i="48"/>
  <c r="J24" i="48"/>
  <c r="Q24" i="48" s="1"/>
  <c r="I24" i="48"/>
  <c r="V24" i="48" s="1"/>
  <c r="C24" i="48"/>
  <c r="W23" i="48"/>
  <c r="T23" i="48"/>
  <c r="S23" i="48"/>
  <c r="P23" i="48"/>
  <c r="O23" i="48"/>
  <c r="N23" i="48"/>
  <c r="L23" i="48"/>
  <c r="K23" i="48"/>
  <c r="J23" i="48"/>
  <c r="Q23" i="48" s="1"/>
  <c r="I23" i="48"/>
  <c r="V23" i="48" s="1"/>
  <c r="C23" i="48"/>
  <c r="W22" i="48"/>
  <c r="T22" i="48"/>
  <c r="S22" i="48"/>
  <c r="P22" i="48"/>
  <c r="O22" i="48"/>
  <c r="N22" i="48"/>
  <c r="L22" i="48"/>
  <c r="K22" i="48"/>
  <c r="J22" i="48"/>
  <c r="Q22" i="48" s="1"/>
  <c r="I22" i="48"/>
  <c r="V22" i="48" s="1"/>
  <c r="C22" i="48"/>
  <c r="W21" i="48"/>
  <c r="T21" i="48"/>
  <c r="S21" i="48"/>
  <c r="P21" i="48"/>
  <c r="O21" i="48"/>
  <c r="N21" i="48"/>
  <c r="L21" i="48"/>
  <c r="K21" i="48"/>
  <c r="J21" i="48"/>
  <c r="M21" i="48" s="1"/>
  <c r="I21" i="48"/>
  <c r="C21" i="48"/>
  <c r="W20" i="48"/>
  <c r="T20" i="48"/>
  <c r="S20" i="48"/>
  <c r="P20" i="48"/>
  <c r="O20" i="48"/>
  <c r="N20" i="48"/>
  <c r="L20" i="48"/>
  <c r="K20" i="48"/>
  <c r="J20" i="48"/>
  <c r="Q20" i="48" s="1"/>
  <c r="I20" i="48"/>
  <c r="V20" i="48" s="1"/>
  <c r="C20" i="48"/>
  <c r="W19" i="48"/>
  <c r="T19" i="48"/>
  <c r="S19" i="48"/>
  <c r="P19" i="48"/>
  <c r="O19" i="48"/>
  <c r="N19" i="48"/>
  <c r="L19" i="48"/>
  <c r="K19" i="48"/>
  <c r="J19" i="48"/>
  <c r="M19" i="48" s="1"/>
  <c r="I19" i="48"/>
  <c r="V19" i="48" s="1"/>
  <c r="C19" i="48"/>
  <c r="W18" i="48"/>
  <c r="T18" i="48"/>
  <c r="S18" i="48"/>
  <c r="P18" i="48"/>
  <c r="O18" i="48"/>
  <c r="N18" i="48"/>
  <c r="L18" i="48"/>
  <c r="K18" i="48"/>
  <c r="J18" i="48"/>
  <c r="Q18" i="48" s="1"/>
  <c r="I18" i="48"/>
  <c r="V18" i="48" s="1"/>
  <c r="C18" i="48"/>
  <c r="W17" i="48"/>
  <c r="T17" i="48"/>
  <c r="S17" i="48"/>
  <c r="P17" i="48"/>
  <c r="O17" i="48"/>
  <c r="N17" i="48"/>
  <c r="L17" i="48"/>
  <c r="K17" i="48"/>
  <c r="J17" i="48"/>
  <c r="Q17" i="48" s="1"/>
  <c r="I17" i="48"/>
  <c r="V17" i="48" s="1"/>
  <c r="C17" i="48"/>
  <c r="W16" i="48"/>
  <c r="T16" i="48"/>
  <c r="S16" i="48"/>
  <c r="P16" i="48"/>
  <c r="O16" i="48"/>
  <c r="N16" i="48"/>
  <c r="L16" i="48"/>
  <c r="K16" i="48"/>
  <c r="J16" i="48"/>
  <c r="Q16" i="48" s="1"/>
  <c r="I16" i="48"/>
  <c r="V16" i="48" s="1"/>
  <c r="C16" i="48"/>
  <c r="W15" i="48"/>
  <c r="T15" i="48"/>
  <c r="S15" i="48"/>
  <c r="P15" i="48"/>
  <c r="O15" i="48"/>
  <c r="N15" i="48"/>
  <c r="L15" i="48"/>
  <c r="K15" i="48"/>
  <c r="J15" i="48"/>
  <c r="Q15" i="48" s="1"/>
  <c r="I15" i="48"/>
  <c r="V15" i="48" s="1"/>
  <c r="C15" i="48"/>
  <c r="W14" i="48"/>
  <c r="T14" i="48"/>
  <c r="S14" i="48"/>
  <c r="P14" i="48"/>
  <c r="O14" i="48"/>
  <c r="N14" i="48"/>
  <c r="L14" i="48"/>
  <c r="K14" i="48"/>
  <c r="J14" i="48"/>
  <c r="Q14" i="48" s="1"/>
  <c r="I14" i="48"/>
  <c r="V14" i="48" s="1"/>
  <c r="C14" i="48"/>
  <c r="W13" i="48"/>
  <c r="T13" i="48"/>
  <c r="S13" i="48"/>
  <c r="P13" i="48"/>
  <c r="O13" i="48"/>
  <c r="N13" i="48"/>
  <c r="L13" i="48"/>
  <c r="K13" i="48"/>
  <c r="J13" i="48"/>
  <c r="Q13" i="48" s="1"/>
  <c r="I13" i="48"/>
  <c r="V13" i="48" s="1"/>
  <c r="C13" i="48"/>
  <c r="W12" i="48"/>
  <c r="T12" i="48"/>
  <c r="S12" i="48"/>
  <c r="P12" i="48"/>
  <c r="O12" i="48"/>
  <c r="N12" i="48"/>
  <c r="L12" i="48"/>
  <c r="K12" i="48"/>
  <c r="J12" i="48"/>
  <c r="Q12" i="48" s="1"/>
  <c r="I12" i="48"/>
  <c r="C12" i="48"/>
  <c r="W11" i="48"/>
  <c r="T11" i="48"/>
  <c r="S11" i="48"/>
  <c r="P11" i="48"/>
  <c r="O11" i="48"/>
  <c r="N11" i="48"/>
  <c r="L11" i="48"/>
  <c r="K11" i="48"/>
  <c r="J11" i="48"/>
  <c r="I11" i="48"/>
  <c r="V11" i="48" s="1"/>
  <c r="C11" i="48"/>
  <c r="W10" i="48"/>
  <c r="T10" i="48"/>
  <c r="S10" i="48"/>
  <c r="P10" i="48"/>
  <c r="O10" i="48"/>
  <c r="N10" i="48"/>
  <c r="L10" i="48"/>
  <c r="K10" i="48"/>
  <c r="J10" i="48"/>
  <c r="Q10" i="48" s="1"/>
  <c r="I10" i="48"/>
  <c r="V10" i="48" s="1"/>
  <c r="C10" i="48"/>
  <c r="W9" i="48"/>
  <c r="T9" i="48"/>
  <c r="S9" i="48"/>
  <c r="P9" i="48"/>
  <c r="O9" i="48"/>
  <c r="N9" i="48"/>
  <c r="L9" i="48"/>
  <c r="K9" i="48"/>
  <c r="J9" i="48"/>
  <c r="Q9" i="48" s="1"/>
  <c r="I9" i="48"/>
  <c r="V9" i="48" s="1"/>
  <c r="C9" i="48"/>
  <c r="W8" i="48"/>
  <c r="T8" i="48"/>
  <c r="S8" i="48"/>
  <c r="P8" i="48"/>
  <c r="O8" i="48"/>
  <c r="N8" i="48"/>
  <c r="L8" i="48"/>
  <c r="K8" i="48"/>
  <c r="J8" i="48"/>
  <c r="Q8" i="48" s="1"/>
  <c r="I8" i="48"/>
  <c r="V8" i="48" s="1"/>
  <c r="C8" i="48"/>
  <c r="W7" i="48"/>
  <c r="T7" i="48"/>
  <c r="S7" i="48"/>
  <c r="P7" i="48"/>
  <c r="O7" i="48"/>
  <c r="N7" i="48"/>
  <c r="L7" i="48"/>
  <c r="L27" i="48" s="1"/>
  <c r="K7" i="48"/>
  <c r="J7" i="48"/>
  <c r="I7" i="48"/>
  <c r="V7" i="48" s="1"/>
  <c r="C7" i="48"/>
  <c r="C27" i="48" s="1"/>
  <c r="R27" i="47"/>
  <c r="H27" i="47"/>
  <c r="G27" i="47"/>
  <c r="F27" i="47"/>
  <c r="E27" i="47"/>
  <c r="D27" i="47"/>
  <c r="W26" i="47"/>
  <c r="T26" i="47"/>
  <c r="S26" i="47"/>
  <c r="P26" i="47"/>
  <c r="O26" i="47"/>
  <c r="N26" i="47"/>
  <c r="L26" i="47"/>
  <c r="K26" i="47"/>
  <c r="J26" i="47"/>
  <c r="Q26" i="47" s="1"/>
  <c r="I26" i="47"/>
  <c r="V26" i="47" s="1"/>
  <c r="C26" i="47"/>
  <c r="W25" i="47"/>
  <c r="T25" i="47"/>
  <c r="S25" i="47"/>
  <c r="P25" i="47"/>
  <c r="O25" i="47"/>
  <c r="N25" i="47"/>
  <c r="L25" i="47"/>
  <c r="K25" i="47"/>
  <c r="J25" i="47"/>
  <c r="Q25" i="47" s="1"/>
  <c r="I25" i="47"/>
  <c r="V25" i="47" s="1"/>
  <c r="C25" i="47"/>
  <c r="W24" i="47"/>
  <c r="T24" i="47"/>
  <c r="S24" i="47"/>
  <c r="Q24" i="47"/>
  <c r="P24" i="47"/>
  <c r="O24" i="47"/>
  <c r="N24" i="47"/>
  <c r="L24" i="47"/>
  <c r="K24" i="47"/>
  <c r="J24" i="47"/>
  <c r="M24" i="47" s="1"/>
  <c r="I24" i="47"/>
  <c r="V24" i="47" s="1"/>
  <c r="C24" i="47"/>
  <c r="W23" i="47"/>
  <c r="T23" i="47"/>
  <c r="S23" i="47"/>
  <c r="P23" i="47"/>
  <c r="O23" i="47"/>
  <c r="N23" i="47"/>
  <c r="L23" i="47"/>
  <c r="K23" i="47"/>
  <c r="J23" i="47"/>
  <c r="Q23" i="47" s="1"/>
  <c r="I23" i="47"/>
  <c r="V23" i="47" s="1"/>
  <c r="C23" i="47"/>
  <c r="W22" i="47"/>
  <c r="T22" i="47"/>
  <c r="S22" i="47"/>
  <c r="P22" i="47"/>
  <c r="O22" i="47"/>
  <c r="N22" i="47"/>
  <c r="L22" i="47"/>
  <c r="K22" i="47"/>
  <c r="J22" i="47"/>
  <c r="Q22" i="47" s="1"/>
  <c r="I22" i="47"/>
  <c r="V22" i="47" s="1"/>
  <c r="C22" i="47"/>
  <c r="W21" i="47"/>
  <c r="T21" i="47"/>
  <c r="S21" i="47"/>
  <c r="P21" i="47"/>
  <c r="O21" i="47"/>
  <c r="N21" i="47"/>
  <c r="L21" i="47"/>
  <c r="K21" i="47"/>
  <c r="J21" i="47"/>
  <c r="M21" i="47" s="1"/>
  <c r="I21" i="47"/>
  <c r="V21" i="47" s="1"/>
  <c r="C21" i="47"/>
  <c r="W20" i="47"/>
  <c r="T20" i="47"/>
  <c r="S20" i="47"/>
  <c r="P20" i="47"/>
  <c r="O20" i="47"/>
  <c r="N20" i="47"/>
  <c r="L20" i="47"/>
  <c r="K20" i="47"/>
  <c r="J20" i="47"/>
  <c r="M20" i="47" s="1"/>
  <c r="I20" i="47"/>
  <c r="V20" i="47" s="1"/>
  <c r="C20" i="47"/>
  <c r="W19" i="47"/>
  <c r="T19" i="47"/>
  <c r="S19" i="47"/>
  <c r="U19" i="47" s="1"/>
  <c r="P19" i="47"/>
  <c r="O19" i="47"/>
  <c r="N19" i="47"/>
  <c r="L19" i="47"/>
  <c r="K19" i="47"/>
  <c r="J19" i="47"/>
  <c r="Q19" i="47" s="1"/>
  <c r="I19" i="47"/>
  <c r="V19" i="47" s="1"/>
  <c r="C19" i="47"/>
  <c r="W18" i="47"/>
  <c r="T18" i="47"/>
  <c r="S18" i="47"/>
  <c r="P18" i="47"/>
  <c r="O18" i="47"/>
  <c r="N18" i="47"/>
  <c r="L18" i="47"/>
  <c r="K18" i="47"/>
  <c r="J18" i="47"/>
  <c r="M18" i="47" s="1"/>
  <c r="I18" i="47"/>
  <c r="V18" i="47" s="1"/>
  <c r="C18" i="47"/>
  <c r="W17" i="47"/>
  <c r="T17" i="47"/>
  <c r="S17" i="47"/>
  <c r="P17" i="47"/>
  <c r="O17" i="47"/>
  <c r="N17" i="47"/>
  <c r="L17" i="47"/>
  <c r="K17" i="47"/>
  <c r="J17" i="47"/>
  <c r="Q17" i="47" s="1"/>
  <c r="I17" i="47"/>
  <c r="V17" i="47" s="1"/>
  <c r="C17" i="47"/>
  <c r="W16" i="47"/>
  <c r="T16" i="47"/>
  <c r="S16" i="47"/>
  <c r="P16" i="47"/>
  <c r="O16" i="47"/>
  <c r="N16" i="47"/>
  <c r="L16" i="47"/>
  <c r="K16" i="47"/>
  <c r="J16" i="47"/>
  <c r="Q16" i="47" s="1"/>
  <c r="I16" i="47"/>
  <c r="V16" i="47" s="1"/>
  <c r="C16" i="47"/>
  <c r="W15" i="47"/>
  <c r="T15" i="47"/>
  <c r="S15" i="47"/>
  <c r="P15" i="47"/>
  <c r="O15" i="47"/>
  <c r="N15" i="47"/>
  <c r="L15" i="47"/>
  <c r="K15" i="47"/>
  <c r="J15" i="47"/>
  <c r="Q15" i="47" s="1"/>
  <c r="I15" i="47"/>
  <c r="V15" i="47" s="1"/>
  <c r="C15" i="47"/>
  <c r="W14" i="47"/>
  <c r="T14" i="47"/>
  <c r="S14" i="47"/>
  <c r="P14" i="47"/>
  <c r="O14" i="47"/>
  <c r="N14" i="47"/>
  <c r="L14" i="47"/>
  <c r="K14" i="47"/>
  <c r="J14" i="47"/>
  <c r="M14" i="47" s="1"/>
  <c r="I14" i="47"/>
  <c r="V14" i="47" s="1"/>
  <c r="C14" i="47"/>
  <c r="W13" i="47"/>
  <c r="T13" i="47"/>
  <c r="S13" i="47"/>
  <c r="P13" i="47"/>
  <c r="O13" i="47"/>
  <c r="N13" i="47"/>
  <c r="L13" i="47"/>
  <c r="K13" i="47"/>
  <c r="J13" i="47"/>
  <c r="I13" i="47"/>
  <c r="V13" i="47" s="1"/>
  <c r="C13" i="47"/>
  <c r="W12" i="47"/>
  <c r="T12" i="47"/>
  <c r="S12" i="47"/>
  <c r="P12" i="47"/>
  <c r="O12" i="47"/>
  <c r="N12" i="47"/>
  <c r="L12" i="47"/>
  <c r="K12" i="47"/>
  <c r="J12" i="47"/>
  <c r="M12" i="47" s="1"/>
  <c r="I12" i="47"/>
  <c r="V12" i="47" s="1"/>
  <c r="C12" i="47"/>
  <c r="W11" i="47"/>
  <c r="T11" i="47"/>
  <c r="S11" i="47"/>
  <c r="P11" i="47"/>
  <c r="O11" i="47"/>
  <c r="N11" i="47"/>
  <c r="L11" i="47"/>
  <c r="K11" i="47"/>
  <c r="J11" i="47"/>
  <c r="Q11" i="47" s="1"/>
  <c r="I11" i="47"/>
  <c r="V11" i="47" s="1"/>
  <c r="C11" i="47"/>
  <c r="W10" i="47"/>
  <c r="T10" i="47"/>
  <c r="S10" i="47"/>
  <c r="P10" i="47"/>
  <c r="O10" i="47"/>
  <c r="N10" i="47"/>
  <c r="L10" i="47"/>
  <c r="K10" i="47"/>
  <c r="J10" i="47"/>
  <c r="Q10" i="47" s="1"/>
  <c r="I10" i="47"/>
  <c r="V10" i="47" s="1"/>
  <c r="C10" i="47"/>
  <c r="W9" i="47"/>
  <c r="T9" i="47"/>
  <c r="S9" i="47"/>
  <c r="P9" i="47"/>
  <c r="O9" i="47"/>
  <c r="N9" i="47"/>
  <c r="L9" i="47"/>
  <c r="K9" i="47"/>
  <c r="J9" i="47"/>
  <c r="Q9" i="47" s="1"/>
  <c r="I9" i="47"/>
  <c r="V9" i="47" s="1"/>
  <c r="C9" i="47"/>
  <c r="W8" i="47"/>
  <c r="T8" i="47"/>
  <c r="S8" i="47"/>
  <c r="P8" i="47"/>
  <c r="O8" i="47"/>
  <c r="N8" i="47"/>
  <c r="L8" i="47"/>
  <c r="K8" i="47"/>
  <c r="J8" i="47"/>
  <c r="Q8" i="47" s="1"/>
  <c r="I8" i="47"/>
  <c r="V8" i="47" s="1"/>
  <c r="C8" i="47"/>
  <c r="W7" i="47"/>
  <c r="T7" i="47"/>
  <c r="S7" i="47"/>
  <c r="P7" i="47"/>
  <c r="O7" i="47"/>
  <c r="N7" i="47"/>
  <c r="L7" i="47"/>
  <c r="K7" i="47"/>
  <c r="J7" i="47"/>
  <c r="I7" i="47"/>
  <c r="V7" i="47" s="1"/>
  <c r="C7" i="47"/>
  <c r="C27" i="47" s="1"/>
  <c r="H27" i="45"/>
  <c r="G27" i="45"/>
  <c r="F27" i="45"/>
  <c r="E27" i="45"/>
  <c r="D27" i="45"/>
  <c r="W26" i="45"/>
  <c r="T26" i="45"/>
  <c r="S26" i="45"/>
  <c r="P26" i="45"/>
  <c r="O26" i="45"/>
  <c r="N26" i="45"/>
  <c r="L26" i="45"/>
  <c r="K26" i="45"/>
  <c r="J26" i="45"/>
  <c r="Q26" i="45" s="1"/>
  <c r="I26" i="45"/>
  <c r="V26" i="45" s="1"/>
  <c r="C26" i="45"/>
  <c r="W25" i="45"/>
  <c r="T25" i="45"/>
  <c r="S25" i="45"/>
  <c r="P25" i="45"/>
  <c r="O25" i="45"/>
  <c r="N25" i="45"/>
  <c r="L25" i="45"/>
  <c r="K25" i="45"/>
  <c r="J25" i="45"/>
  <c r="Q25" i="45" s="1"/>
  <c r="I25" i="45"/>
  <c r="V25" i="45" s="1"/>
  <c r="C25" i="45"/>
  <c r="W24" i="45"/>
  <c r="T24" i="45"/>
  <c r="S24" i="45"/>
  <c r="P24" i="45"/>
  <c r="O24" i="45"/>
  <c r="N24" i="45"/>
  <c r="L24" i="45"/>
  <c r="K24" i="45"/>
  <c r="J24" i="45"/>
  <c r="Q24" i="45" s="1"/>
  <c r="I24" i="45"/>
  <c r="V24" i="45" s="1"/>
  <c r="C24" i="45"/>
  <c r="W23" i="45"/>
  <c r="T23" i="45"/>
  <c r="S23" i="45"/>
  <c r="P23" i="45"/>
  <c r="O23" i="45"/>
  <c r="N23" i="45"/>
  <c r="L23" i="45"/>
  <c r="K23" i="45"/>
  <c r="J23" i="45"/>
  <c r="M23" i="45" s="1"/>
  <c r="I23" i="45"/>
  <c r="V23" i="45" s="1"/>
  <c r="C23" i="45"/>
  <c r="W22" i="45"/>
  <c r="T22" i="45"/>
  <c r="S22" i="45"/>
  <c r="P22" i="45"/>
  <c r="O22" i="45"/>
  <c r="N22" i="45"/>
  <c r="L22" i="45"/>
  <c r="K22" i="45"/>
  <c r="J22" i="45"/>
  <c r="Q22" i="45" s="1"/>
  <c r="I22" i="45"/>
  <c r="V22" i="45" s="1"/>
  <c r="C22" i="45"/>
  <c r="W21" i="45"/>
  <c r="T21" i="45"/>
  <c r="S21" i="45"/>
  <c r="P21" i="45"/>
  <c r="O21" i="45"/>
  <c r="N21" i="45"/>
  <c r="L21" i="45"/>
  <c r="K21" i="45"/>
  <c r="J21" i="45"/>
  <c r="Q21" i="45" s="1"/>
  <c r="I21" i="45"/>
  <c r="V21" i="45" s="1"/>
  <c r="C21" i="45"/>
  <c r="W20" i="45"/>
  <c r="T20" i="45"/>
  <c r="S20" i="45"/>
  <c r="P20" i="45"/>
  <c r="O20" i="45"/>
  <c r="N20" i="45"/>
  <c r="L20" i="45"/>
  <c r="K20" i="45"/>
  <c r="J20" i="45"/>
  <c r="I20" i="45"/>
  <c r="V20" i="45" s="1"/>
  <c r="C20" i="45"/>
  <c r="W19" i="45"/>
  <c r="T19" i="45"/>
  <c r="S19" i="45"/>
  <c r="P19" i="45"/>
  <c r="O19" i="45"/>
  <c r="N19" i="45"/>
  <c r="L19" i="45"/>
  <c r="K19" i="45"/>
  <c r="J19" i="45"/>
  <c r="Q19" i="45" s="1"/>
  <c r="I19" i="45"/>
  <c r="V19" i="45" s="1"/>
  <c r="C19" i="45"/>
  <c r="W18" i="45"/>
  <c r="T18" i="45"/>
  <c r="S18" i="45"/>
  <c r="P18" i="45"/>
  <c r="O18" i="45"/>
  <c r="N18" i="45"/>
  <c r="L18" i="45"/>
  <c r="K18" i="45"/>
  <c r="J18" i="45"/>
  <c r="Q18" i="45" s="1"/>
  <c r="I18" i="45"/>
  <c r="V18" i="45" s="1"/>
  <c r="C18" i="45"/>
  <c r="W17" i="45"/>
  <c r="T17" i="45"/>
  <c r="S17" i="45"/>
  <c r="P17" i="45"/>
  <c r="O17" i="45"/>
  <c r="N17" i="45"/>
  <c r="L17" i="45"/>
  <c r="K17" i="45"/>
  <c r="J17" i="45"/>
  <c r="Q17" i="45" s="1"/>
  <c r="I17" i="45"/>
  <c r="V17" i="45" s="1"/>
  <c r="C17" i="45"/>
  <c r="W16" i="45"/>
  <c r="T16" i="45"/>
  <c r="S16" i="45"/>
  <c r="P16" i="45"/>
  <c r="O16" i="45"/>
  <c r="N16" i="45"/>
  <c r="L16" i="45"/>
  <c r="K16" i="45"/>
  <c r="J16" i="45"/>
  <c r="Q16" i="45" s="1"/>
  <c r="I16" i="45"/>
  <c r="V16" i="45" s="1"/>
  <c r="C16" i="45"/>
  <c r="W15" i="45"/>
  <c r="T15" i="45"/>
  <c r="S15" i="45"/>
  <c r="P15" i="45"/>
  <c r="O15" i="45"/>
  <c r="N15" i="45"/>
  <c r="L15" i="45"/>
  <c r="K15" i="45"/>
  <c r="J15" i="45"/>
  <c r="M15" i="45" s="1"/>
  <c r="I15" i="45"/>
  <c r="V15" i="45" s="1"/>
  <c r="C15" i="45"/>
  <c r="W14" i="45"/>
  <c r="T14" i="45"/>
  <c r="S14" i="45"/>
  <c r="P14" i="45"/>
  <c r="O14" i="45"/>
  <c r="N14" i="45"/>
  <c r="L14" i="45"/>
  <c r="K14" i="45"/>
  <c r="J14" i="45"/>
  <c r="M14" i="45" s="1"/>
  <c r="I14" i="45"/>
  <c r="V14" i="45" s="1"/>
  <c r="C14" i="45"/>
  <c r="W13" i="45"/>
  <c r="T13" i="45"/>
  <c r="S13" i="45"/>
  <c r="P13" i="45"/>
  <c r="O13" i="45"/>
  <c r="N13" i="45"/>
  <c r="L13" i="45"/>
  <c r="K13" i="45"/>
  <c r="J13" i="45"/>
  <c r="Q13" i="45" s="1"/>
  <c r="I13" i="45"/>
  <c r="V13" i="45" s="1"/>
  <c r="C13" i="45"/>
  <c r="W12" i="45"/>
  <c r="T12" i="45"/>
  <c r="S12" i="45"/>
  <c r="P12" i="45"/>
  <c r="O12" i="45"/>
  <c r="N12" i="45"/>
  <c r="L12" i="45"/>
  <c r="K12" i="45"/>
  <c r="J12" i="45"/>
  <c r="M12" i="45" s="1"/>
  <c r="I12" i="45"/>
  <c r="V12" i="45" s="1"/>
  <c r="C12" i="45"/>
  <c r="W11" i="45"/>
  <c r="T11" i="45"/>
  <c r="S11" i="45"/>
  <c r="P11" i="45"/>
  <c r="O11" i="45"/>
  <c r="N11" i="45"/>
  <c r="L11" i="45"/>
  <c r="K11" i="45"/>
  <c r="J11" i="45"/>
  <c r="Q11" i="45" s="1"/>
  <c r="I11" i="45"/>
  <c r="V11" i="45" s="1"/>
  <c r="C11" i="45"/>
  <c r="W10" i="45"/>
  <c r="T10" i="45"/>
  <c r="S10" i="45"/>
  <c r="P10" i="45"/>
  <c r="O10" i="45"/>
  <c r="N10" i="45"/>
  <c r="L10" i="45"/>
  <c r="K10" i="45"/>
  <c r="J10" i="45"/>
  <c r="Q10" i="45" s="1"/>
  <c r="I10" i="45"/>
  <c r="V10" i="45" s="1"/>
  <c r="C10" i="45"/>
  <c r="W9" i="45"/>
  <c r="T9" i="45"/>
  <c r="S9" i="45"/>
  <c r="P9" i="45"/>
  <c r="O9" i="45"/>
  <c r="N9" i="45"/>
  <c r="L9" i="45"/>
  <c r="K9" i="45"/>
  <c r="J9" i="45"/>
  <c r="Q9" i="45" s="1"/>
  <c r="I9" i="45"/>
  <c r="V9" i="45" s="1"/>
  <c r="C9" i="45"/>
  <c r="W8" i="45"/>
  <c r="T8" i="45"/>
  <c r="S8" i="45"/>
  <c r="P8" i="45"/>
  <c r="O8" i="45"/>
  <c r="N8" i="45"/>
  <c r="L8" i="45"/>
  <c r="K8" i="45"/>
  <c r="J8" i="45"/>
  <c r="Q8" i="45" s="1"/>
  <c r="I8" i="45"/>
  <c r="V8" i="45" s="1"/>
  <c r="C8" i="45"/>
  <c r="W7" i="45"/>
  <c r="T7" i="45"/>
  <c r="S7" i="45"/>
  <c r="P7" i="45"/>
  <c r="O7" i="45"/>
  <c r="N7" i="45"/>
  <c r="L7" i="45"/>
  <c r="L27" i="45" s="1"/>
  <c r="K7" i="45"/>
  <c r="J7" i="45"/>
  <c r="M7" i="45" s="1"/>
  <c r="I7" i="45"/>
  <c r="V7" i="45" s="1"/>
  <c r="C7" i="45"/>
  <c r="C27" i="45" s="1"/>
  <c r="H27" i="44"/>
  <c r="G27" i="44"/>
  <c r="F27" i="44"/>
  <c r="E27" i="44"/>
  <c r="D27" i="44"/>
  <c r="W26" i="44"/>
  <c r="T26" i="44"/>
  <c r="S26" i="44"/>
  <c r="P26" i="44"/>
  <c r="O26" i="44"/>
  <c r="N26" i="44"/>
  <c r="L26" i="44"/>
  <c r="K26" i="44"/>
  <c r="J26" i="44"/>
  <c r="Q26" i="44" s="1"/>
  <c r="I26" i="44"/>
  <c r="V26" i="44" s="1"/>
  <c r="C26" i="44"/>
  <c r="W25" i="44"/>
  <c r="T25" i="44"/>
  <c r="S25" i="44"/>
  <c r="P25" i="44"/>
  <c r="O25" i="44"/>
  <c r="N25" i="44"/>
  <c r="L25" i="44"/>
  <c r="K25" i="44"/>
  <c r="J25" i="44"/>
  <c r="Q25" i="44" s="1"/>
  <c r="I25" i="44"/>
  <c r="V25" i="44" s="1"/>
  <c r="C25" i="44"/>
  <c r="W24" i="44"/>
  <c r="T24" i="44"/>
  <c r="S24" i="44"/>
  <c r="P24" i="44"/>
  <c r="O24" i="44"/>
  <c r="N24" i="44"/>
  <c r="L24" i="44"/>
  <c r="K24" i="44"/>
  <c r="J24" i="44"/>
  <c r="Q24" i="44" s="1"/>
  <c r="I24" i="44"/>
  <c r="V24" i="44" s="1"/>
  <c r="C24" i="44"/>
  <c r="W23" i="44"/>
  <c r="T23" i="44"/>
  <c r="S23" i="44"/>
  <c r="P23" i="44"/>
  <c r="O23" i="44"/>
  <c r="N23" i="44"/>
  <c r="L23" i="44"/>
  <c r="K23" i="44"/>
  <c r="J23" i="44"/>
  <c r="Q23" i="44" s="1"/>
  <c r="I23" i="44"/>
  <c r="V23" i="44" s="1"/>
  <c r="C23" i="44"/>
  <c r="W22" i="44"/>
  <c r="T22" i="44"/>
  <c r="S22" i="44"/>
  <c r="P22" i="44"/>
  <c r="O22" i="44"/>
  <c r="N22" i="44"/>
  <c r="L22" i="44"/>
  <c r="K22" i="44"/>
  <c r="J22" i="44"/>
  <c r="Q22" i="44" s="1"/>
  <c r="I22" i="44"/>
  <c r="V22" i="44" s="1"/>
  <c r="C22" i="44"/>
  <c r="W21" i="44"/>
  <c r="T21" i="44"/>
  <c r="S21" i="44"/>
  <c r="P21" i="44"/>
  <c r="O21" i="44"/>
  <c r="N21" i="44"/>
  <c r="L21" i="44"/>
  <c r="K21" i="44"/>
  <c r="J21" i="44"/>
  <c r="Q21" i="44" s="1"/>
  <c r="I21" i="44"/>
  <c r="C21" i="44"/>
  <c r="W20" i="44"/>
  <c r="T20" i="44"/>
  <c r="S20" i="44"/>
  <c r="P20" i="44"/>
  <c r="O20" i="44"/>
  <c r="N20" i="44"/>
  <c r="L20" i="44"/>
  <c r="K20" i="44"/>
  <c r="J20" i="44"/>
  <c r="M20" i="44" s="1"/>
  <c r="I20" i="44"/>
  <c r="V20" i="44" s="1"/>
  <c r="C20" i="44"/>
  <c r="W19" i="44"/>
  <c r="T19" i="44"/>
  <c r="S19" i="44"/>
  <c r="P19" i="44"/>
  <c r="O19" i="44"/>
  <c r="N19" i="44"/>
  <c r="L19" i="44"/>
  <c r="K19" i="44"/>
  <c r="J19" i="44"/>
  <c r="Q19" i="44" s="1"/>
  <c r="I19" i="44"/>
  <c r="V19" i="44" s="1"/>
  <c r="C19" i="44"/>
  <c r="W18" i="44"/>
  <c r="T18" i="44"/>
  <c r="S18" i="44"/>
  <c r="P18" i="44"/>
  <c r="O18" i="44"/>
  <c r="N18" i="44"/>
  <c r="L18" i="44"/>
  <c r="K18" i="44"/>
  <c r="J18" i="44"/>
  <c r="Q18" i="44" s="1"/>
  <c r="I18" i="44"/>
  <c r="V18" i="44" s="1"/>
  <c r="C18" i="44"/>
  <c r="W17" i="44"/>
  <c r="T17" i="44"/>
  <c r="S17" i="44"/>
  <c r="P17" i="44"/>
  <c r="O17" i="44"/>
  <c r="N17" i="44"/>
  <c r="L17" i="44"/>
  <c r="K17" i="44"/>
  <c r="J17" i="44"/>
  <c r="Q17" i="44" s="1"/>
  <c r="I17" i="44"/>
  <c r="V17" i="44" s="1"/>
  <c r="C17" i="44"/>
  <c r="W16" i="44"/>
  <c r="T16" i="44"/>
  <c r="S16" i="44"/>
  <c r="P16" i="44"/>
  <c r="O16" i="44"/>
  <c r="N16" i="44"/>
  <c r="L16" i="44"/>
  <c r="K16" i="44"/>
  <c r="J16" i="44"/>
  <c r="Q16" i="44" s="1"/>
  <c r="I16" i="44"/>
  <c r="V16" i="44" s="1"/>
  <c r="C16" i="44"/>
  <c r="W15" i="44"/>
  <c r="T15" i="44"/>
  <c r="S15" i="44"/>
  <c r="P15" i="44"/>
  <c r="O15" i="44"/>
  <c r="N15" i="44"/>
  <c r="L15" i="44"/>
  <c r="K15" i="44"/>
  <c r="J15" i="44"/>
  <c r="Q15" i="44" s="1"/>
  <c r="I15" i="44"/>
  <c r="V15" i="44" s="1"/>
  <c r="C15" i="44"/>
  <c r="W14" i="44"/>
  <c r="T14" i="44"/>
  <c r="S14" i="44"/>
  <c r="P14" i="44"/>
  <c r="O14" i="44"/>
  <c r="N14" i="44"/>
  <c r="L14" i="44"/>
  <c r="K14" i="44"/>
  <c r="J14" i="44"/>
  <c r="M14" i="44" s="1"/>
  <c r="I14" i="44"/>
  <c r="V14" i="44" s="1"/>
  <c r="C14" i="44"/>
  <c r="W13" i="44"/>
  <c r="T13" i="44"/>
  <c r="S13" i="44"/>
  <c r="P13" i="44"/>
  <c r="O13" i="44"/>
  <c r="N13" i="44"/>
  <c r="L13" i="44"/>
  <c r="K13" i="44"/>
  <c r="J13" i="44"/>
  <c r="Q13" i="44" s="1"/>
  <c r="I13" i="44"/>
  <c r="V13" i="44" s="1"/>
  <c r="C13" i="44"/>
  <c r="W12" i="44"/>
  <c r="T12" i="44"/>
  <c r="S12" i="44"/>
  <c r="P12" i="44"/>
  <c r="O12" i="44"/>
  <c r="N12" i="44"/>
  <c r="L12" i="44"/>
  <c r="K12" i="44"/>
  <c r="J12" i="44"/>
  <c r="Y12" i="44" s="1"/>
  <c r="I12" i="44"/>
  <c r="V12" i="44" s="1"/>
  <c r="C12" i="44"/>
  <c r="W11" i="44"/>
  <c r="T11" i="44"/>
  <c r="S11" i="44"/>
  <c r="P11" i="44"/>
  <c r="O11" i="44"/>
  <c r="N11" i="44"/>
  <c r="L11" i="44"/>
  <c r="K11" i="44"/>
  <c r="J11" i="44"/>
  <c r="Q11" i="44" s="1"/>
  <c r="I11" i="44"/>
  <c r="V11" i="44" s="1"/>
  <c r="C11" i="44"/>
  <c r="W10" i="44"/>
  <c r="T10" i="44"/>
  <c r="S10" i="44"/>
  <c r="U10" i="44" s="1"/>
  <c r="P10" i="44"/>
  <c r="O10" i="44"/>
  <c r="N10" i="44"/>
  <c r="L10" i="44"/>
  <c r="K10" i="44"/>
  <c r="J10" i="44"/>
  <c r="Q10" i="44" s="1"/>
  <c r="I10" i="44"/>
  <c r="V10" i="44" s="1"/>
  <c r="C10" i="44"/>
  <c r="W9" i="44"/>
  <c r="T9" i="44"/>
  <c r="S9" i="44"/>
  <c r="P9" i="44"/>
  <c r="O9" i="44"/>
  <c r="N9" i="44"/>
  <c r="L9" i="44"/>
  <c r="K9" i="44"/>
  <c r="J9" i="44"/>
  <c r="Q9" i="44" s="1"/>
  <c r="I9" i="44"/>
  <c r="V9" i="44" s="1"/>
  <c r="C9" i="44"/>
  <c r="W8" i="44"/>
  <c r="T8" i="44"/>
  <c r="S8" i="44"/>
  <c r="P8" i="44"/>
  <c r="O8" i="44"/>
  <c r="N8" i="44"/>
  <c r="L8" i="44"/>
  <c r="K8" i="44"/>
  <c r="J8" i="44"/>
  <c r="Q8" i="44" s="1"/>
  <c r="I8" i="44"/>
  <c r="V8" i="44" s="1"/>
  <c r="C8" i="44"/>
  <c r="W7" i="44"/>
  <c r="T7" i="44"/>
  <c r="S7" i="44"/>
  <c r="P7" i="44"/>
  <c r="O7" i="44"/>
  <c r="N7" i="44"/>
  <c r="L7" i="44"/>
  <c r="K7" i="44"/>
  <c r="J7" i="44"/>
  <c r="Q7" i="44" s="1"/>
  <c r="I7" i="44"/>
  <c r="V7" i="44" s="1"/>
  <c r="C7" i="44"/>
  <c r="C27" i="44" s="1"/>
  <c r="K55" i="4"/>
  <c r="G55" i="4"/>
  <c r="H55" i="4"/>
  <c r="I55" i="4"/>
  <c r="J55" i="4"/>
  <c r="F55" i="4"/>
  <c r="F31" i="4"/>
  <c r="H31" i="4"/>
  <c r="I31" i="4"/>
  <c r="J31" i="4"/>
  <c r="F32" i="4"/>
  <c r="H32" i="4"/>
  <c r="I32" i="4"/>
  <c r="J32" i="4"/>
  <c r="F33" i="4"/>
  <c r="H33" i="4"/>
  <c r="I33" i="4"/>
  <c r="J33" i="4"/>
  <c r="F34" i="4"/>
  <c r="H34" i="4"/>
  <c r="I34" i="4"/>
  <c r="J34" i="4"/>
  <c r="F35" i="4"/>
  <c r="H35" i="4"/>
  <c r="I35" i="4"/>
  <c r="J35" i="4"/>
  <c r="F36" i="4"/>
  <c r="H36" i="4"/>
  <c r="I36" i="4"/>
  <c r="J36" i="4"/>
  <c r="F37" i="4"/>
  <c r="H37" i="4"/>
  <c r="I37" i="4"/>
  <c r="J37" i="4"/>
  <c r="F38" i="4"/>
  <c r="H38" i="4"/>
  <c r="I38" i="4"/>
  <c r="J38" i="4"/>
  <c r="F39" i="4"/>
  <c r="H39" i="4"/>
  <c r="I39" i="4"/>
  <c r="J39" i="4"/>
  <c r="F40" i="4"/>
  <c r="H40" i="4"/>
  <c r="I40" i="4"/>
  <c r="J40" i="4"/>
  <c r="F41" i="4"/>
  <c r="H41" i="4"/>
  <c r="I41" i="4"/>
  <c r="J41" i="4"/>
  <c r="F42" i="4"/>
  <c r="H42" i="4"/>
  <c r="I42" i="4"/>
  <c r="J42" i="4"/>
  <c r="F43" i="4"/>
  <c r="H43" i="4"/>
  <c r="I43" i="4"/>
  <c r="J43" i="4"/>
  <c r="F44" i="4"/>
  <c r="H44" i="4"/>
  <c r="I44" i="4"/>
  <c r="J44" i="4"/>
  <c r="F45" i="4"/>
  <c r="H45" i="4"/>
  <c r="I45" i="4"/>
  <c r="J45" i="4"/>
  <c r="F46" i="4"/>
  <c r="H46" i="4"/>
  <c r="I46" i="4"/>
  <c r="J46" i="4"/>
  <c r="F47" i="4"/>
  <c r="H47" i="4"/>
  <c r="I47" i="4"/>
  <c r="J47" i="4"/>
  <c r="F48" i="4"/>
  <c r="H48" i="4"/>
  <c r="I48" i="4"/>
  <c r="J48" i="4"/>
  <c r="F49" i="4"/>
  <c r="H49" i="4"/>
  <c r="I49" i="4"/>
  <c r="J49" i="4"/>
  <c r="J30" i="4"/>
  <c r="I30" i="4"/>
  <c r="H30" i="4"/>
  <c r="F30" i="4"/>
  <c r="I81" i="4"/>
  <c r="I82" i="4" s="1"/>
  <c r="V48" i="4"/>
  <c r="U48" i="4"/>
  <c r="T48" i="4"/>
  <c r="I71" i="4"/>
  <c r="L27" i="39"/>
  <c r="P7" i="4"/>
  <c r="J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D27" i="39"/>
  <c r="E27" i="39"/>
  <c r="F27" i="39"/>
  <c r="O7" i="4"/>
  <c r="J8" i="39"/>
  <c r="Q8" i="39" s="1"/>
  <c r="J9" i="39"/>
  <c r="Q9" i="39" s="1"/>
  <c r="J10" i="39"/>
  <c r="Q10" i="39" s="1"/>
  <c r="J11" i="39"/>
  <c r="M11" i="39" s="1"/>
  <c r="J12" i="39"/>
  <c r="Q12" i="39" s="1"/>
  <c r="J13" i="39"/>
  <c r="Q13" i="39" s="1"/>
  <c r="J14" i="39"/>
  <c r="Q14" i="39" s="1"/>
  <c r="J15" i="39"/>
  <c r="Q15" i="39" s="1"/>
  <c r="J16" i="39"/>
  <c r="Q16" i="39" s="1"/>
  <c r="J17" i="39"/>
  <c r="Q17" i="39" s="1"/>
  <c r="J18" i="39"/>
  <c r="Q18" i="39" s="1"/>
  <c r="J19" i="39"/>
  <c r="Q19" i="39" s="1"/>
  <c r="J20" i="39"/>
  <c r="Q20" i="39" s="1"/>
  <c r="J21" i="39"/>
  <c r="Q21" i="39" s="1"/>
  <c r="J22" i="39"/>
  <c r="Q22" i="39" s="1"/>
  <c r="J23" i="39"/>
  <c r="Q23" i="39" s="1"/>
  <c r="J24" i="39"/>
  <c r="Q24" i="39" s="1"/>
  <c r="J25" i="39"/>
  <c r="Q25" i="39" s="1"/>
  <c r="J26" i="39"/>
  <c r="M26" i="39" s="1"/>
  <c r="K18" i="39"/>
  <c r="P7" i="39"/>
  <c r="K7" i="39"/>
  <c r="Y7" i="39" s="1"/>
  <c r="H27" i="39"/>
  <c r="G27" i="39"/>
  <c r="W26" i="39"/>
  <c r="T26" i="39"/>
  <c r="S26" i="39"/>
  <c r="P26" i="39"/>
  <c r="O26" i="39"/>
  <c r="N26" i="39"/>
  <c r="K26" i="39"/>
  <c r="I26" i="39"/>
  <c r="V26" i="39" s="1"/>
  <c r="W25" i="39"/>
  <c r="T25" i="39"/>
  <c r="S25" i="39"/>
  <c r="P25" i="39"/>
  <c r="O25" i="39"/>
  <c r="N25" i="39"/>
  <c r="K25" i="39"/>
  <c r="I25" i="39"/>
  <c r="V25" i="39" s="1"/>
  <c r="W24" i="39"/>
  <c r="T24" i="39"/>
  <c r="S24" i="39"/>
  <c r="P24" i="39"/>
  <c r="O24" i="39"/>
  <c r="N24" i="39"/>
  <c r="K24" i="39"/>
  <c r="I24" i="39"/>
  <c r="V24" i="39" s="1"/>
  <c r="W23" i="39"/>
  <c r="T23" i="39"/>
  <c r="S23" i="39"/>
  <c r="P23" i="39"/>
  <c r="O23" i="39"/>
  <c r="N23" i="39"/>
  <c r="K23" i="39"/>
  <c r="I23" i="39"/>
  <c r="V23" i="39" s="1"/>
  <c r="W22" i="39"/>
  <c r="T22" i="39"/>
  <c r="S22" i="39"/>
  <c r="P22" i="39"/>
  <c r="O22" i="39"/>
  <c r="N22" i="39"/>
  <c r="K22" i="39"/>
  <c r="I22" i="39"/>
  <c r="V22" i="39" s="1"/>
  <c r="W21" i="39"/>
  <c r="T21" i="39"/>
  <c r="S21" i="39"/>
  <c r="P21" i="39"/>
  <c r="O21" i="39"/>
  <c r="N21" i="39"/>
  <c r="K21" i="39"/>
  <c r="I21" i="39"/>
  <c r="V21" i="39" s="1"/>
  <c r="W20" i="39"/>
  <c r="T20" i="39"/>
  <c r="S20" i="39"/>
  <c r="P20" i="39"/>
  <c r="O20" i="39"/>
  <c r="N20" i="39"/>
  <c r="K20" i="39"/>
  <c r="I20" i="39"/>
  <c r="V20" i="39" s="1"/>
  <c r="W19" i="39"/>
  <c r="T19" i="39"/>
  <c r="S19" i="39"/>
  <c r="P19" i="39"/>
  <c r="O19" i="39"/>
  <c r="N19" i="39"/>
  <c r="K19" i="39"/>
  <c r="I19" i="39"/>
  <c r="V19" i="39" s="1"/>
  <c r="W18" i="39"/>
  <c r="T18" i="39"/>
  <c r="S18" i="39"/>
  <c r="P18" i="39"/>
  <c r="O18" i="39"/>
  <c r="N18" i="39"/>
  <c r="I18" i="39"/>
  <c r="V18" i="39" s="1"/>
  <c r="W17" i="39"/>
  <c r="T17" i="39"/>
  <c r="S17" i="39"/>
  <c r="P17" i="39"/>
  <c r="O17" i="39"/>
  <c r="N17" i="39"/>
  <c r="K17" i="39"/>
  <c r="I17" i="39"/>
  <c r="V17" i="39" s="1"/>
  <c r="W16" i="39"/>
  <c r="T16" i="39"/>
  <c r="S16" i="39"/>
  <c r="P16" i="39"/>
  <c r="O16" i="39"/>
  <c r="N16" i="39"/>
  <c r="K16" i="39"/>
  <c r="I16" i="39"/>
  <c r="V16" i="39" s="1"/>
  <c r="W15" i="39"/>
  <c r="T15" i="39"/>
  <c r="S15" i="39"/>
  <c r="P15" i="39"/>
  <c r="O15" i="39"/>
  <c r="N15" i="39"/>
  <c r="K15" i="39"/>
  <c r="I15" i="39"/>
  <c r="V15" i="39" s="1"/>
  <c r="W14" i="39"/>
  <c r="T14" i="39"/>
  <c r="S14" i="39"/>
  <c r="P14" i="39"/>
  <c r="O14" i="39"/>
  <c r="N14" i="39"/>
  <c r="K14" i="39"/>
  <c r="I14" i="39"/>
  <c r="V14" i="39" s="1"/>
  <c r="W13" i="39"/>
  <c r="T13" i="39"/>
  <c r="S13" i="39"/>
  <c r="P13" i="39"/>
  <c r="O13" i="39"/>
  <c r="N13" i="39"/>
  <c r="K13" i="39"/>
  <c r="I13" i="39"/>
  <c r="V13" i="39" s="1"/>
  <c r="W12" i="39"/>
  <c r="T12" i="39"/>
  <c r="S12" i="39"/>
  <c r="P12" i="39"/>
  <c r="O12" i="39"/>
  <c r="N12" i="39"/>
  <c r="K12" i="39"/>
  <c r="I12" i="39"/>
  <c r="V12" i="39" s="1"/>
  <c r="W11" i="39"/>
  <c r="T11" i="39"/>
  <c r="S11" i="39"/>
  <c r="P11" i="39"/>
  <c r="O11" i="39"/>
  <c r="N11" i="39"/>
  <c r="K11" i="39"/>
  <c r="I11" i="39"/>
  <c r="W10" i="39"/>
  <c r="T10" i="39"/>
  <c r="S10" i="39"/>
  <c r="P10" i="39"/>
  <c r="O10" i="39"/>
  <c r="N10" i="39"/>
  <c r="K10" i="39"/>
  <c r="I10" i="39"/>
  <c r="V10" i="39" s="1"/>
  <c r="W9" i="39"/>
  <c r="T9" i="39"/>
  <c r="S9" i="39"/>
  <c r="P9" i="39"/>
  <c r="O9" i="39"/>
  <c r="N9" i="39"/>
  <c r="K9" i="39"/>
  <c r="I9" i="39"/>
  <c r="V9" i="39" s="1"/>
  <c r="W8" i="39"/>
  <c r="T8" i="39"/>
  <c r="S8" i="39"/>
  <c r="P8" i="39"/>
  <c r="O8" i="39"/>
  <c r="N8" i="39"/>
  <c r="K8" i="39"/>
  <c r="I8" i="39"/>
  <c r="V8" i="39" s="1"/>
  <c r="W7" i="39"/>
  <c r="T7" i="39"/>
  <c r="S7" i="39"/>
  <c r="O7" i="39"/>
  <c r="N7" i="39"/>
  <c r="J7" i="39"/>
  <c r="Q7" i="39" s="1"/>
  <c r="I7" i="39"/>
  <c r="V7" i="39" s="1"/>
  <c r="D29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V46" i="4"/>
  <c r="U46" i="4"/>
  <c r="T46" i="4"/>
  <c r="AF43" i="4"/>
  <c r="AG43" i="4"/>
  <c r="AH43" i="4"/>
  <c r="AC43" i="4"/>
  <c r="AD43" i="4"/>
  <c r="AE43" i="4"/>
  <c r="AB43" i="4"/>
  <c r="Z43" i="4"/>
  <c r="AA43" i="4"/>
  <c r="X43" i="4"/>
  <c r="Y43" i="4"/>
  <c r="W43" i="4"/>
  <c r="V43" i="4"/>
  <c r="U43" i="4"/>
  <c r="F10" i="1"/>
  <c r="F11" i="1"/>
  <c r="F12" i="1"/>
  <c r="F13" i="1"/>
  <c r="F9" i="1"/>
  <c r="S21" i="1"/>
  <c r="T21" i="1"/>
  <c r="U21" i="1"/>
  <c r="V21" i="1"/>
  <c r="W21" i="1"/>
  <c r="S22" i="1"/>
  <c r="T22" i="1"/>
  <c r="U22" i="1"/>
  <c r="V22" i="1"/>
  <c r="W22" i="1"/>
  <c r="S23" i="1"/>
  <c r="T23" i="1"/>
  <c r="U23" i="1"/>
  <c r="V23" i="1"/>
  <c r="W23" i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T27" i="1"/>
  <c r="U27" i="1"/>
  <c r="V27" i="1"/>
  <c r="W27" i="1"/>
  <c r="S28" i="1"/>
  <c r="T28" i="1"/>
  <c r="U28" i="1"/>
  <c r="V28" i="1"/>
  <c r="W28" i="1"/>
  <c r="S29" i="1"/>
  <c r="T29" i="1"/>
  <c r="U29" i="1"/>
  <c r="V29" i="1"/>
  <c r="W29" i="1"/>
  <c r="S30" i="1"/>
  <c r="T30" i="1"/>
  <c r="U30" i="1"/>
  <c r="V30" i="1"/>
  <c r="W30" i="1"/>
  <c r="S31" i="1"/>
  <c r="T31" i="1"/>
  <c r="U31" i="1"/>
  <c r="V31" i="1"/>
  <c r="W31" i="1"/>
  <c r="S32" i="1"/>
  <c r="T32" i="1"/>
  <c r="U32" i="1"/>
  <c r="V32" i="1"/>
  <c r="W32" i="1"/>
  <c r="S33" i="1"/>
  <c r="T33" i="1"/>
  <c r="U33" i="1"/>
  <c r="V33" i="1"/>
  <c r="W33" i="1"/>
  <c r="S34" i="1"/>
  <c r="T34" i="1"/>
  <c r="U34" i="1"/>
  <c r="V34" i="1"/>
  <c r="W34" i="1"/>
  <c r="S35" i="1"/>
  <c r="T35" i="1"/>
  <c r="U35" i="1"/>
  <c r="V35" i="1"/>
  <c r="W35" i="1"/>
  <c r="S36" i="1"/>
  <c r="T36" i="1"/>
  <c r="U36" i="1"/>
  <c r="V36" i="1"/>
  <c r="W36" i="1"/>
  <c r="S37" i="1"/>
  <c r="T37" i="1"/>
  <c r="U37" i="1"/>
  <c r="V37" i="1"/>
  <c r="W37" i="1"/>
  <c r="S38" i="1"/>
  <c r="T38" i="1"/>
  <c r="U38" i="1"/>
  <c r="V38" i="1"/>
  <c r="W38" i="1"/>
  <c r="S39" i="1"/>
  <c r="T39" i="1"/>
  <c r="U39" i="1"/>
  <c r="V39" i="1"/>
  <c r="W39" i="1"/>
  <c r="W20" i="1"/>
  <c r="V20" i="1"/>
  <c r="U20" i="1"/>
  <c r="T20" i="1"/>
  <c r="S20" i="1"/>
  <c r="K2" i="4"/>
  <c r="X34" i="4"/>
  <c r="X35" i="4"/>
  <c r="X36" i="4"/>
  <c r="X37" i="4"/>
  <c r="X33" i="4"/>
  <c r="E13" i="1"/>
  <c r="J24" i="1" s="1"/>
  <c r="D10" i="1"/>
  <c r="E10" i="1" s="1"/>
  <c r="G31" i="1" s="1"/>
  <c r="D11" i="1"/>
  <c r="E11" i="1" s="1"/>
  <c r="D12" i="1"/>
  <c r="E12" i="1" s="1"/>
  <c r="D13" i="1"/>
  <c r="D9" i="1"/>
  <c r="E9" i="1" s="1"/>
  <c r="C11" i="1"/>
  <c r="B10" i="1"/>
  <c r="C10" i="1" s="1"/>
  <c r="M31" i="1" s="1"/>
  <c r="B11" i="1"/>
  <c r="B12" i="1"/>
  <c r="C12" i="1" s="1"/>
  <c r="B13" i="1"/>
  <c r="C13" i="1" s="1"/>
  <c r="B9" i="1"/>
  <c r="C9" i="1" s="1"/>
  <c r="L7" i="4"/>
  <c r="K7" i="4"/>
  <c r="B72" i="4"/>
  <c r="C22" i="4"/>
  <c r="R22" i="4" s="1"/>
  <c r="S58" i="53" l="1"/>
  <c r="S77" i="53" s="1"/>
  <c r="U75" i="53"/>
  <c r="R74" i="53"/>
  <c r="T72" i="53"/>
  <c r="Q71" i="53"/>
  <c r="S69" i="53"/>
  <c r="U67" i="53"/>
  <c r="R66" i="53"/>
  <c r="T64" i="53"/>
  <c r="Q63" i="53"/>
  <c r="S61" i="53"/>
  <c r="U59" i="53"/>
  <c r="R58" i="53"/>
  <c r="R77" i="53" s="1"/>
  <c r="T76" i="53"/>
  <c r="T68" i="53"/>
  <c r="E14" i="53"/>
  <c r="E10" i="53"/>
  <c r="E6" i="53"/>
  <c r="S60" i="53"/>
  <c r="D22" i="53"/>
  <c r="D14" i="53"/>
  <c r="D10" i="53"/>
  <c r="D6" i="53"/>
  <c r="R76" i="53"/>
  <c r="T74" i="53"/>
  <c r="S71" i="53"/>
  <c r="R68" i="53"/>
  <c r="T66" i="53"/>
  <c r="S63" i="53"/>
  <c r="R60" i="53"/>
  <c r="E19" i="53"/>
  <c r="E15" i="53"/>
  <c r="T61" i="53"/>
  <c r="B22" i="53"/>
  <c r="D19" i="53"/>
  <c r="B18" i="53"/>
  <c r="D15" i="53"/>
  <c r="B14" i="53"/>
  <c r="D11" i="53"/>
  <c r="B10" i="53"/>
  <c r="D7" i="53"/>
  <c r="B6" i="53"/>
  <c r="D3" i="53"/>
  <c r="E20" i="53"/>
  <c r="C19" i="53"/>
  <c r="E16" i="53"/>
  <c r="C15" i="53"/>
  <c r="E12" i="53"/>
  <c r="C11" i="53"/>
  <c r="E8" i="53"/>
  <c r="C7" i="53"/>
  <c r="E4" i="53"/>
  <c r="C3" i="53"/>
  <c r="T75" i="53"/>
  <c r="Q74" i="53"/>
  <c r="S72" i="53"/>
  <c r="U70" i="53"/>
  <c r="R69" i="53"/>
  <c r="T67" i="53"/>
  <c r="Q66" i="53"/>
  <c r="S64" i="53"/>
  <c r="U62" i="53"/>
  <c r="R61" i="53"/>
  <c r="T59" i="53"/>
  <c r="Q58" i="53"/>
  <c r="Q77" i="53" s="1"/>
  <c r="S75" i="53"/>
  <c r="U73" i="53"/>
  <c r="R72" i="53"/>
  <c r="T70" i="53"/>
  <c r="Q69" i="53"/>
  <c r="S67" i="53"/>
  <c r="U65" i="53"/>
  <c r="R64" i="53"/>
  <c r="T62" i="53"/>
  <c r="Q61" i="53"/>
  <c r="S59" i="53"/>
  <c r="U57" i="53"/>
  <c r="U77" i="53" s="1"/>
  <c r="E22" i="53"/>
  <c r="E18" i="53"/>
  <c r="S76" i="53"/>
  <c r="T71" i="53"/>
  <c r="S68" i="53"/>
  <c r="T63" i="53"/>
  <c r="D18" i="53"/>
  <c r="C22" i="53"/>
  <c r="C18" i="53"/>
  <c r="C14" i="53"/>
  <c r="E11" i="53"/>
  <c r="C10" i="53"/>
  <c r="E7" i="53"/>
  <c r="C6" i="53"/>
  <c r="E3" i="53"/>
  <c r="Q76" i="53"/>
  <c r="S74" i="53"/>
  <c r="R71" i="53"/>
  <c r="T69" i="53"/>
  <c r="Q68" i="53"/>
  <c r="S66" i="53"/>
  <c r="R63" i="53"/>
  <c r="Q60" i="53"/>
  <c r="D20" i="53"/>
  <c r="B19" i="53"/>
  <c r="D16" i="53"/>
  <c r="B15" i="53"/>
  <c r="D12" i="53"/>
  <c r="B11" i="53"/>
  <c r="D8" i="53"/>
  <c r="B7" i="53"/>
  <c r="D4" i="53"/>
  <c r="B3" i="53"/>
  <c r="E21" i="53"/>
  <c r="C20" i="53"/>
  <c r="E17" i="53"/>
  <c r="C16" i="53"/>
  <c r="E13" i="53"/>
  <c r="C12" i="53"/>
  <c r="E9" i="53"/>
  <c r="C8" i="53"/>
  <c r="E5" i="53"/>
  <c r="C4" i="53"/>
  <c r="U76" i="53"/>
  <c r="R75" i="53"/>
  <c r="T73" i="53"/>
  <c r="Q72" i="53"/>
  <c r="S70" i="53"/>
  <c r="U68" i="53"/>
  <c r="R67" i="53"/>
  <c r="T65" i="53"/>
  <c r="Q64" i="53"/>
  <c r="S62" i="53"/>
  <c r="U60" i="53"/>
  <c r="R59" i="53"/>
  <c r="T57" i="53"/>
  <c r="T77" i="53" s="1"/>
  <c r="Q67" i="53"/>
  <c r="S65" i="53"/>
  <c r="R62" i="53"/>
  <c r="T60" i="53"/>
  <c r="Q59" i="53"/>
  <c r="L105" i="52"/>
  <c r="L102" i="52"/>
  <c r="L110" i="52"/>
  <c r="J39" i="52"/>
  <c r="K39" i="52" s="1"/>
  <c r="J40" i="52"/>
  <c r="K40" i="52" s="1"/>
  <c r="J38" i="52"/>
  <c r="K38" i="52" s="1"/>
  <c r="K114" i="52"/>
  <c r="L114" i="52" s="1"/>
  <c r="N112" i="52"/>
  <c r="L112" i="52" s="1"/>
  <c r="K106" i="52"/>
  <c r="L106" i="52" s="1"/>
  <c r="N104" i="52"/>
  <c r="K98" i="52"/>
  <c r="L98" i="52" s="1"/>
  <c r="N96" i="52"/>
  <c r="L96" i="52" s="1"/>
  <c r="N110" i="52"/>
  <c r="K104" i="52"/>
  <c r="N102" i="52"/>
  <c r="N108" i="52"/>
  <c r="L108" i="52" s="1"/>
  <c r="N100" i="52"/>
  <c r="L100" i="52" s="1"/>
  <c r="G93" i="52"/>
  <c r="B22" i="51"/>
  <c r="B14" i="51"/>
  <c r="B10" i="51"/>
  <c r="B6" i="51"/>
  <c r="R72" i="51"/>
  <c r="R64" i="51"/>
  <c r="B15" i="51"/>
  <c r="B3" i="51"/>
  <c r="R70" i="51"/>
  <c r="R62" i="51"/>
  <c r="E22" i="51"/>
  <c r="E18" i="51"/>
  <c r="E14" i="51"/>
  <c r="E10" i="51"/>
  <c r="E6" i="51"/>
  <c r="T77" i="51"/>
  <c r="V75" i="51"/>
  <c r="U72" i="51"/>
  <c r="R71" i="51"/>
  <c r="T69" i="51"/>
  <c r="V67" i="51"/>
  <c r="U64" i="51"/>
  <c r="R63" i="51"/>
  <c r="T61" i="51"/>
  <c r="T78" i="51" s="1"/>
  <c r="V59" i="51"/>
  <c r="V78" i="51" s="1"/>
  <c r="R77" i="51"/>
  <c r="R69" i="51"/>
  <c r="B18" i="51"/>
  <c r="R75" i="51"/>
  <c r="R67" i="51"/>
  <c r="R59" i="51"/>
  <c r="R78" i="51" s="1"/>
  <c r="B19" i="51"/>
  <c r="B11" i="51"/>
  <c r="B7" i="51"/>
  <c r="V77" i="51"/>
  <c r="R73" i="51"/>
  <c r="V69" i="51"/>
  <c r="R65" i="51"/>
  <c r="V61" i="51"/>
  <c r="F22" i="51"/>
  <c r="B20" i="51"/>
  <c r="F18" i="51"/>
  <c r="B16" i="51"/>
  <c r="F14" i="51"/>
  <c r="B12" i="51"/>
  <c r="F10" i="51"/>
  <c r="B8" i="51"/>
  <c r="F6" i="51"/>
  <c r="B4" i="51"/>
  <c r="U77" i="51"/>
  <c r="R76" i="51"/>
  <c r="V72" i="51"/>
  <c r="U69" i="51"/>
  <c r="R68" i="51"/>
  <c r="V64" i="51"/>
  <c r="U61" i="51"/>
  <c r="U78" i="51" s="1"/>
  <c r="R60" i="51"/>
  <c r="D22" i="51"/>
  <c r="B21" i="51"/>
  <c r="F19" i="51"/>
  <c r="D18" i="51"/>
  <c r="B17" i="51"/>
  <c r="F15" i="51"/>
  <c r="D14" i="51"/>
  <c r="B13" i="51"/>
  <c r="F11" i="51"/>
  <c r="D10" i="51"/>
  <c r="B9" i="51"/>
  <c r="F7" i="51"/>
  <c r="D6" i="51"/>
  <c r="B5" i="51"/>
  <c r="F3" i="51"/>
  <c r="S77" i="51"/>
  <c r="S78" i="51" s="1"/>
  <c r="U75" i="51"/>
  <c r="R74" i="51"/>
  <c r="T72" i="51"/>
  <c r="V70" i="51"/>
  <c r="S69" i="51"/>
  <c r="U67" i="51"/>
  <c r="R66" i="51"/>
  <c r="L115" i="50"/>
  <c r="L107" i="50"/>
  <c r="J39" i="50"/>
  <c r="K39" i="50" s="1"/>
  <c r="J38" i="50"/>
  <c r="K38" i="50" s="1"/>
  <c r="J40" i="50"/>
  <c r="L112" i="50"/>
  <c r="L104" i="50"/>
  <c r="L111" i="50"/>
  <c r="K114" i="50"/>
  <c r="L114" i="50" s="1"/>
  <c r="N112" i="50"/>
  <c r="K106" i="50"/>
  <c r="L106" i="50" s="1"/>
  <c r="N104" i="50"/>
  <c r="K98" i="50"/>
  <c r="L98" i="50" s="1"/>
  <c r="N96" i="50"/>
  <c r="L96" i="50" s="1"/>
  <c r="N115" i="50"/>
  <c r="N107" i="50"/>
  <c r="K40" i="50"/>
  <c r="G93" i="50"/>
  <c r="Y13" i="49"/>
  <c r="M12" i="49"/>
  <c r="R12" i="49" s="1"/>
  <c r="U7" i="49"/>
  <c r="U13" i="49"/>
  <c r="U17" i="49"/>
  <c r="U12" i="49"/>
  <c r="U24" i="49"/>
  <c r="Q13" i="49"/>
  <c r="M18" i="49"/>
  <c r="R18" i="49" s="1"/>
  <c r="Y23" i="49"/>
  <c r="M25" i="49"/>
  <c r="R25" i="49" s="1"/>
  <c r="Y12" i="49"/>
  <c r="Y19" i="49"/>
  <c r="M23" i="49"/>
  <c r="R23" i="49" s="1"/>
  <c r="Y10" i="49"/>
  <c r="U15" i="49"/>
  <c r="Y15" i="49"/>
  <c r="M15" i="49"/>
  <c r="R15" i="49" s="1"/>
  <c r="U23" i="49"/>
  <c r="M26" i="49"/>
  <c r="R26" i="49" s="1"/>
  <c r="W27" i="49"/>
  <c r="Y20" i="49"/>
  <c r="Y22" i="49"/>
  <c r="M22" i="49"/>
  <c r="R22" i="49" s="1"/>
  <c r="Y17" i="49"/>
  <c r="M19" i="49"/>
  <c r="R19" i="49" s="1"/>
  <c r="U25" i="49"/>
  <c r="J27" i="49"/>
  <c r="M13" i="49"/>
  <c r="M17" i="49"/>
  <c r="R17" i="49" s="1"/>
  <c r="M20" i="49"/>
  <c r="R20" i="49" s="1"/>
  <c r="Y9" i="49"/>
  <c r="U14" i="49"/>
  <c r="U22" i="49"/>
  <c r="M24" i="49"/>
  <c r="R24" i="49" s="1"/>
  <c r="U16" i="49"/>
  <c r="K27" i="49"/>
  <c r="Y16" i="49"/>
  <c r="N27" i="49"/>
  <c r="M9" i="49"/>
  <c r="R9" i="49" s="1"/>
  <c r="Q10" i="49"/>
  <c r="M11" i="49"/>
  <c r="R11" i="49" s="1"/>
  <c r="Q14" i="49"/>
  <c r="R14" i="49" s="1"/>
  <c r="M16" i="49"/>
  <c r="R16" i="49" s="1"/>
  <c r="Y18" i="49"/>
  <c r="M21" i="49"/>
  <c r="R21" i="49" s="1"/>
  <c r="Y26" i="49"/>
  <c r="Y11" i="49"/>
  <c r="Y21" i="49"/>
  <c r="P27" i="49"/>
  <c r="Y14" i="49"/>
  <c r="U19" i="49"/>
  <c r="S27" i="49"/>
  <c r="Y8" i="49"/>
  <c r="Y25" i="49"/>
  <c r="U11" i="49"/>
  <c r="O27" i="49"/>
  <c r="U8" i="49"/>
  <c r="U10" i="49"/>
  <c r="T27" i="49"/>
  <c r="M8" i="49"/>
  <c r="R8" i="49" s="1"/>
  <c r="U9" i="49"/>
  <c r="M10" i="49"/>
  <c r="V13" i="49"/>
  <c r="V27" i="49" s="1"/>
  <c r="U21" i="49"/>
  <c r="U18" i="49"/>
  <c r="U26" i="49"/>
  <c r="M7" i="49"/>
  <c r="Y7" i="49"/>
  <c r="Q7" i="49"/>
  <c r="Y24" i="49"/>
  <c r="U20" i="49"/>
  <c r="U23" i="48"/>
  <c r="M25" i="48"/>
  <c r="R25" i="48" s="1"/>
  <c r="Y23" i="48"/>
  <c r="Y22" i="48"/>
  <c r="U21" i="48"/>
  <c r="Q21" i="48"/>
  <c r="R21" i="48" s="1"/>
  <c r="U13" i="48"/>
  <c r="Y11" i="48"/>
  <c r="Y12" i="48"/>
  <c r="Y21" i="48"/>
  <c r="U24" i="48"/>
  <c r="Y10" i="48"/>
  <c r="Y20" i="48"/>
  <c r="M10" i="48"/>
  <c r="R10" i="48" s="1"/>
  <c r="Y13" i="48"/>
  <c r="Y8" i="48"/>
  <c r="Y18" i="48"/>
  <c r="M8" i="48"/>
  <c r="M18" i="48"/>
  <c r="R18" i="48" s="1"/>
  <c r="U12" i="48"/>
  <c r="M16" i="48"/>
  <c r="R16" i="48" s="1"/>
  <c r="J27" i="48"/>
  <c r="Y14" i="48"/>
  <c r="K27" i="48"/>
  <c r="V12" i="48"/>
  <c r="M13" i="48"/>
  <c r="R13" i="48" s="1"/>
  <c r="Y17" i="48"/>
  <c r="Y19" i="48"/>
  <c r="V21" i="48"/>
  <c r="M22" i="48"/>
  <c r="R22" i="48" s="1"/>
  <c r="Y24" i="48"/>
  <c r="Y15" i="48"/>
  <c r="M17" i="48"/>
  <c r="M12" i="48"/>
  <c r="R12" i="48" s="1"/>
  <c r="M15" i="48"/>
  <c r="R15" i="48" s="1"/>
  <c r="W27" i="48"/>
  <c r="U22" i="48"/>
  <c r="Q19" i="48"/>
  <c r="R19" i="48" s="1"/>
  <c r="M14" i="48"/>
  <c r="R14" i="48" s="1"/>
  <c r="U15" i="48"/>
  <c r="S27" i="48"/>
  <c r="R8" i="48"/>
  <c r="M23" i="48"/>
  <c r="R23" i="48" s="1"/>
  <c r="M24" i="48"/>
  <c r="R24" i="48" s="1"/>
  <c r="T27" i="48"/>
  <c r="U9" i="48"/>
  <c r="Q11" i="48"/>
  <c r="Y16" i="48"/>
  <c r="Y9" i="48"/>
  <c r="U17" i="48"/>
  <c r="U8" i="48"/>
  <c r="M9" i="48"/>
  <c r="R9" i="48" s="1"/>
  <c r="U19" i="48"/>
  <c r="M20" i="48"/>
  <c r="R20" i="48" s="1"/>
  <c r="Y25" i="48"/>
  <c r="M26" i="48"/>
  <c r="R26" i="48" s="1"/>
  <c r="N27" i="48"/>
  <c r="U10" i="48"/>
  <c r="O27" i="48"/>
  <c r="U14" i="48"/>
  <c r="U16" i="48"/>
  <c r="R17" i="48"/>
  <c r="U25" i="48"/>
  <c r="U11" i="48"/>
  <c r="M11" i="48"/>
  <c r="P27" i="48"/>
  <c r="U18" i="48"/>
  <c r="Y7" i="48"/>
  <c r="U26" i="48"/>
  <c r="Q7" i="48"/>
  <c r="M7" i="48"/>
  <c r="U7" i="48"/>
  <c r="U20" i="48"/>
  <c r="Y26" i="48"/>
  <c r="U22" i="47"/>
  <c r="U17" i="47"/>
  <c r="U23" i="47"/>
  <c r="Q18" i="47"/>
  <c r="R18" i="47" s="1"/>
  <c r="Q12" i="47"/>
  <c r="R12" i="47" s="1"/>
  <c r="U15" i="47"/>
  <c r="Q14" i="47"/>
  <c r="R14" i="47" s="1"/>
  <c r="Y22" i="47"/>
  <c r="S27" i="47"/>
  <c r="Y21" i="47"/>
  <c r="Y7" i="47"/>
  <c r="Q20" i="47"/>
  <c r="R20" i="47" s="1"/>
  <c r="Y26" i="47"/>
  <c r="U14" i="47"/>
  <c r="Y15" i="47"/>
  <c r="M26" i="47"/>
  <c r="R26" i="47" s="1"/>
  <c r="Y11" i="47"/>
  <c r="M17" i="47"/>
  <c r="M23" i="47"/>
  <c r="R23" i="47" s="1"/>
  <c r="U25" i="47"/>
  <c r="M7" i="47"/>
  <c r="Y18" i="47"/>
  <c r="Y20" i="47"/>
  <c r="Y16" i="47"/>
  <c r="U21" i="47"/>
  <c r="Y19" i="47"/>
  <c r="M19" i="47"/>
  <c r="R19" i="47" s="1"/>
  <c r="Y23" i="47"/>
  <c r="U9" i="47"/>
  <c r="Y13" i="47"/>
  <c r="M16" i="47"/>
  <c r="R16" i="47" s="1"/>
  <c r="Y24" i="47"/>
  <c r="U24" i="47"/>
  <c r="M25" i="47"/>
  <c r="R25" i="47" s="1"/>
  <c r="U12" i="47"/>
  <c r="T27" i="47"/>
  <c r="Y8" i="47"/>
  <c r="Y10" i="47"/>
  <c r="J27" i="47"/>
  <c r="U7" i="47"/>
  <c r="Y12" i="47"/>
  <c r="M15" i="47"/>
  <c r="R15" i="47" s="1"/>
  <c r="W27" i="47"/>
  <c r="K27" i="47"/>
  <c r="M8" i="47"/>
  <c r="R8" i="47" s="1"/>
  <c r="M10" i="47"/>
  <c r="R10" i="47" s="1"/>
  <c r="U11" i="47"/>
  <c r="Y14" i="47"/>
  <c r="Y17" i="47"/>
  <c r="Q21" i="47"/>
  <c r="R21" i="47" s="1"/>
  <c r="R24" i="47"/>
  <c r="U13" i="47"/>
  <c r="U16" i="47"/>
  <c r="U26" i="47"/>
  <c r="N27" i="47"/>
  <c r="Y9" i="47"/>
  <c r="O27" i="47"/>
  <c r="M9" i="47"/>
  <c r="R9" i="47" s="1"/>
  <c r="P27" i="47"/>
  <c r="U8" i="47"/>
  <c r="M11" i="47"/>
  <c r="R11" i="47" s="1"/>
  <c r="M22" i="47"/>
  <c r="R22" i="47" s="1"/>
  <c r="R17" i="47"/>
  <c r="V27" i="47"/>
  <c r="Q13" i="47"/>
  <c r="U10" i="47"/>
  <c r="U18" i="47"/>
  <c r="Q7" i="47"/>
  <c r="U20" i="47"/>
  <c r="Y25" i="47"/>
  <c r="M13" i="47"/>
  <c r="L27" i="47"/>
  <c r="U8" i="45"/>
  <c r="U14" i="45"/>
  <c r="U22" i="45"/>
  <c r="U23" i="45"/>
  <c r="M25" i="45"/>
  <c r="U16" i="45"/>
  <c r="U15" i="45"/>
  <c r="U17" i="45"/>
  <c r="Y23" i="45"/>
  <c r="W27" i="45"/>
  <c r="M21" i="45"/>
  <c r="R21" i="45" s="1"/>
  <c r="S27" i="45"/>
  <c r="M11" i="45"/>
  <c r="R11" i="45" s="1"/>
  <c r="M18" i="45"/>
  <c r="R18" i="45" s="1"/>
  <c r="Y21" i="45"/>
  <c r="U18" i="45"/>
  <c r="Y20" i="45"/>
  <c r="Y14" i="45"/>
  <c r="Y9" i="45"/>
  <c r="M9" i="45"/>
  <c r="R9" i="45" s="1"/>
  <c r="Y12" i="45"/>
  <c r="M19" i="45"/>
  <c r="R19" i="45" s="1"/>
  <c r="Y22" i="45"/>
  <c r="Y26" i="45"/>
  <c r="Y17" i="45"/>
  <c r="M17" i="45"/>
  <c r="R17" i="45" s="1"/>
  <c r="M24" i="45"/>
  <c r="R24" i="45" s="1"/>
  <c r="U25" i="45"/>
  <c r="Y8" i="45"/>
  <c r="M10" i="45"/>
  <c r="R10" i="45" s="1"/>
  <c r="Y13" i="45"/>
  <c r="U9" i="45"/>
  <c r="O27" i="45"/>
  <c r="M22" i="45"/>
  <c r="R22" i="45" s="1"/>
  <c r="P27" i="45"/>
  <c r="U10" i="45"/>
  <c r="M16" i="45"/>
  <c r="R16" i="45" s="1"/>
  <c r="Y18" i="45"/>
  <c r="U19" i="45"/>
  <c r="M26" i="45"/>
  <c r="R26" i="45" s="1"/>
  <c r="Q23" i="45"/>
  <c r="R23" i="45" s="1"/>
  <c r="Q15" i="45"/>
  <c r="R15" i="45" s="1"/>
  <c r="Q14" i="45"/>
  <c r="R14" i="45" s="1"/>
  <c r="J27" i="45"/>
  <c r="T27" i="45"/>
  <c r="K27" i="45"/>
  <c r="U7" i="45"/>
  <c r="M8" i="45"/>
  <c r="R8" i="45" s="1"/>
  <c r="Y10" i="45"/>
  <c r="U11" i="45"/>
  <c r="Y19" i="45"/>
  <c r="Y24" i="45"/>
  <c r="U24" i="45"/>
  <c r="R25" i="45"/>
  <c r="Y25" i="45"/>
  <c r="Q20" i="45"/>
  <c r="Q12" i="45"/>
  <c r="R12" i="45" s="1"/>
  <c r="U26" i="45"/>
  <c r="Q7" i="45"/>
  <c r="N27" i="45"/>
  <c r="Y11" i="45"/>
  <c r="M13" i="45"/>
  <c r="R13" i="45" s="1"/>
  <c r="Y16" i="45"/>
  <c r="V27" i="45"/>
  <c r="Y7" i="45"/>
  <c r="Y15" i="45"/>
  <c r="M20" i="45"/>
  <c r="U20" i="45"/>
  <c r="U12" i="45"/>
  <c r="U13" i="45"/>
  <c r="U21" i="45"/>
  <c r="U14" i="44"/>
  <c r="U26" i="44"/>
  <c r="U22" i="44"/>
  <c r="U8" i="44"/>
  <c r="U9" i="44"/>
  <c r="U17" i="44"/>
  <c r="M10" i="44"/>
  <c r="R10" i="44" s="1"/>
  <c r="Y13" i="44"/>
  <c r="U7" i="44"/>
  <c r="U15" i="44"/>
  <c r="Y21" i="44"/>
  <c r="Y23" i="44"/>
  <c r="M22" i="44"/>
  <c r="R22" i="44" s="1"/>
  <c r="Y22" i="44"/>
  <c r="U19" i="44"/>
  <c r="U23" i="44"/>
  <c r="M26" i="44"/>
  <c r="R26" i="44" s="1"/>
  <c r="M18" i="44"/>
  <c r="R18" i="44" s="1"/>
  <c r="M19" i="44"/>
  <c r="R19" i="44" s="1"/>
  <c r="P27" i="44"/>
  <c r="U16" i="44"/>
  <c r="Y18" i="44"/>
  <c r="Y16" i="44"/>
  <c r="M16" i="44"/>
  <c r="R16" i="44" s="1"/>
  <c r="M21" i="44"/>
  <c r="R21" i="44" s="1"/>
  <c r="Y20" i="44"/>
  <c r="M23" i="44"/>
  <c r="R23" i="44" s="1"/>
  <c r="U24" i="44"/>
  <c r="M25" i="44"/>
  <c r="R25" i="44" s="1"/>
  <c r="Y8" i="44"/>
  <c r="U21" i="44"/>
  <c r="Q14" i="44"/>
  <c r="R14" i="44" s="1"/>
  <c r="M15" i="44"/>
  <c r="R15" i="44" s="1"/>
  <c r="T27" i="44"/>
  <c r="V21" i="44"/>
  <c r="V27" i="44" s="1"/>
  <c r="U25" i="44"/>
  <c r="J27" i="44"/>
  <c r="M8" i="44"/>
  <c r="R8" i="44" s="1"/>
  <c r="Y10" i="44"/>
  <c r="U11" i="44"/>
  <c r="U13" i="44"/>
  <c r="Y14" i="44"/>
  <c r="Y25" i="44"/>
  <c r="Q20" i="44"/>
  <c r="R20" i="44" s="1"/>
  <c r="Q12" i="44"/>
  <c r="M17" i="44"/>
  <c r="R17" i="44" s="1"/>
  <c r="M7" i="44"/>
  <c r="R7" i="44" s="1"/>
  <c r="U18" i="44"/>
  <c r="Y24" i="44"/>
  <c r="S27" i="44"/>
  <c r="K27" i="44"/>
  <c r="M12" i="44"/>
  <c r="N27" i="44"/>
  <c r="O27" i="44"/>
  <c r="M9" i="44"/>
  <c r="R9" i="44" s="1"/>
  <c r="M11" i="44"/>
  <c r="R11" i="44" s="1"/>
  <c r="M13" i="44"/>
  <c r="R13" i="44" s="1"/>
  <c r="M24" i="44"/>
  <c r="R24" i="44" s="1"/>
  <c r="Y26" i="44"/>
  <c r="W27" i="44"/>
  <c r="Y7" i="44"/>
  <c r="Y15" i="44"/>
  <c r="Y9" i="44"/>
  <c r="U12" i="44"/>
  <c r="Y17" i="44"/>
  <c r="U20" i="44"/>
  <c r="L27" i="44"/>
  <c r="Y11" i="44"/>
  <c r="Y19" i="44"/>
  <c r="I27" i="1"/>
  <c r="I23" i="1"/>
  <c r="O23" i="1" s="1"/>
  <c r="I36" i="1"/>
  <c r="O36" i="1" s="1"/>
  <c r="H22" i="1"/>
  <c r="N22" i="1" s="1"/>
  <c r="H23" i="1"/>
  <c r="H28" i="1"/>
  <c r="H27" i="1"/>
  <c r="N27" i="1" s="1"/>
  <c r="H36" i="1"/>
  <c r="N36" i="1" s="1"/>
  <c r="F37" i="1"/>
  <c r="F38" i="1"/>
  <c r="L38" i="1" s="1"/>
  <c r="F21" i="1"/>
  <c r="L21" i="1" s="1"/>
  <c r="F22" i="1"/>
  <c r="L22" i="1" s="1"/>
  <c r="F28" i="1"/>
  <c r="F39" i="1"/>
  <c r="L39" i="1" s="1"/>
  <c r="F29" i="1"/>
  <c r="L29" i="1" s="1"/>
  <c r="F36" i="1"/>
  <c r="L36" i="1" s="1"/>
  <c r="F23" i="1"/>
  <c r="L23" i="1" s="1"/>
  <c r="J20" i="1"/>
  <c r="I31" i="1"/>
  <c r="H31" i="1"/>
  <c r="N31" i="1" s="1"/>
  <c r="G26" i="1"/>
  <c r="M26" i="1" s="1"/>
  <c r="H37" i="1"/>
  <c r="N37" i="1" s="1"/>
  <c r="I32" i="1"/>
  <c r="O32" i="1" s="1"/>
  <c r="J28" i="1"/>
  <c r="H24" i="1"/>
  <c r="I20" i="1"/>
  <c r="J36" i="1"/>
  <c r="H32" i="1"/>
  <c r="N32" i="1" s="1"/>
  <c r="I28" i="1"/>
  <c r="O28" i="1" s="1"/>
  <c r="J23" i="1"/>
  <c r="P23" i="1" s="1"/>
  <c r="H21" i="1"/>
  <c r="N21" i="1" s="1"/>
  <c r="J39" i="1"/>
  <c r="P39" i="1" s="1"/>
  <c r="I39" i="1"/>
  <c r="J21" i="1"/>
  <c r="P21" i="1" s="1"/>
  <c r="H39" i="1"/>
  <c r="N39" i="1" s="1"/>
  <c r="J29" i="1"/>
  <c r="P29" i="1" s="1"/>
  <c r="I21" i="1"/>
  <c r="O21" i="1" s="1"/>
  <c r="I34" i="1"/>
  <c r="O34" i="1" s="1"/>
  <c r="J31" i="1"/>
  <c r="P31" i="1" s="1"/>
  <c r="H35" i="1"/>
  <c r="J26" i="1"/>
  <c r="P26" i="1" s="1"/>
  <c r="J34" i="1"/>
  <c r="P34" i="1" s="1"/>
  <c r="I26" i="1"/>
  <c r="O26" i="1" s="1"/>
  <c r="G32" i="1"/>
  <c r="M32" i="1" s="1"/>
  <c r="J37" i="1"/>
  <c r="P37" i="1" s="1"/>
  <c r="I29" i="1"/>
  <c r="O29" i="1" s="1"/>
  <c r="H26" i="1"/>
  <c r="N26" i="1" s="1"/>
  <c r="I37" i="1"/>
  <c r="O37" i="1" s="1"/>
  <c r="H34" i="1"/>
  <c r="H29" i="1"/>
  <c r="N29" i="1" s="1"/>
  <c r="I24" i="1"/>
  <c r="O24" i="1" s="1"/>
  <c r="M22" i="1"/>
  <c r="G27" i="1"/>
  <c r="M27" i="1" s="1"/>
  <c r="G35" i="1"/>
  <c r="M35" i="1" s="1"/>
  <c r="G20" i="1"/>
  <c r="G28" i="1"/>
  <c r="G36" i="1"/>
  <c r="M36" i="1" s="1"/>
  <c r="G29" i="1"/>
  <c r="M29" i="1" s="1"/>
  <c r="G22" i="1"/>
  <c r="G30" i="1"/>
  <c r="M30" i="1" s="1"/>
  <c r="G38" i="1"/>
  <c r="M38" i="1" s="1"/>
  <c r="G21" i="1"/>
  <c r="M21" i="1" s="1"/>
  <c r="G37" i="1"/>
  <c r="M37" i="1" s="1"/>
  <c r="G25" i="1"/>
  <c r="M25" i="1" s="1"/>
  <c r="G24" i="1"/>
  <c r="M24" i="1" s="1"/>
  <c r="G23" i="1"/>
  <c r="M23" i="1" s="1"/>
  <c r="P20" i="1"/>
  <c r="O20" i="1"/>
  <c r="F24" i="1"/>
  <c r="L24" i="1" s="1"/>
  <c r="F32" i="1"/>
  <c r="L32" i="1" s="1"/>
  <c r="F20" i="1"/>
  <c r="L20" i="1" s="1"/>
  <c r="F25" i="1"/>
  <c r="L25" i="1" s="1"/>
  <c r="F33" i="1"/>
  <c r="L33" i="1" s="1"/>
  <c r="F26" i="1"/>
  <c r="F27" i="1"/>
  <c r="L27" i="1" s="1"/>
  <c r="F35" i="1"/>
  <c r="L35" i="1" s="1"/>
  <c r="F34" i="1"/>
  <c r="L34" i="1" s="1"/>
  <c r="F31" i="1"/>
  <c r="L31" i="1" s="1"/>
  <c r="G34" i="1"/>
  <c r="M34" i="1" s="1"/>
  <c r="O31" i="1"/>
  <c r="O27" i="1"/>
  <c r="L26" i="1"/>
  <c r="L28" i="1"/>
  <c r="L37" i="1"/>
  <c r="P36" i="1"/>
  <c r="P24" i="1"/>
  <c r="P28" i="1"/>
  <c r="G39" i="1"/>
  <c r="M39" i="1" s="1"/>
  <c r="N28" i="1"/>
  <c r="N34" i="1"/>
  <c r="N35" i="1"/>
  <c r="N24" i="1"/>
  <c r="F30" i="1"/>
  <c r="L30" i="1" s="1"/>
  <c r="G33" i="1"/>
  <c r="M33" i="1" s="1"/>
  <c r="O39" i="1"/>
  <c r="N23" i="1"/>
  <c r="I33" i="1"/>
  <c r="O33" i="1" s="1"/>
  <c r="J33" i="1"/>
  <c r="P33" i="1" s="1"/>
  <c r="J25" i="1"/>
  <c r="P25" i="1" s="1"/>
  <c r="J38" i="1"/>
  <c r="P38" i="1" s="1"/>
  <c r="J30" i="1"/>
  <c r="P30" i="1" s="1"/>
  <c r="I25" i="1"/>
  <c r="O25" i="1" s="1"/>
  <c r="J22" i="1"/>
  <c r="P22" i="1" s="1"/>
  <c r="M20" i="1"/>
  <c r="I38" i="1"/>
  <c r="O38" i="1" s="1"/>
  <c r="J35" i="1"/>
  <c r="P35" i="1" s="1"/>
  <c r="H33" i="1"/>
  <c r="N33" i="1" s="1"/>
  <c r="I30" i="1"/>
  <c r="O30" i="1" s="1"/>
  <c r="J27" i="1"/>
  <c r="P27" i="1" s="1"/>
  <c r="H25" i="1"/>
  <c r="N25" i="1" s="1"/>
  <c r="I22" i="1"/>
  <c r="O22" i="1" s="1"/>
  <c r="H20" i="1"/>
  <c r="N20" i="1" s="1"/>
  <c r="H38" i="1"/>
  <c r="N38" i="1" s="1"/>
  <c r="I35" i="1"/>
  <c r="O35" i="1" s="1"/>
  <c r="J32" i="1"/>
  <c r="P32" i="1" s="1"/>
  <c r="H30" i="1"/>
  <c r="N30" i="1" s="1"/>
  <c r="M28" i="1"/>
  <c r="Y25" i="39"/>
  <c r="Y22" i="39"/>
  <c r="Y13" i="39"/>
  <c r="Y11" i="39"/>
  <c r="Y26" i="39"/>
  <c r="Y8" i="39"/>
  <c r="Y9" i="39"/>
  <c r="Y10" i="39"/>
  <c r="Y12" i="39"/>
  <c r="Y14" i="39"/>
  <c r="Y16" i="39"/>
  <c r="Y17" i="39"/>
  <c r="Y18" i="39"/>
  <c r="Y19" i="39"/>
  <c r="Y20" i="39"/>
  <c r="Y21" i="39"/>
  <c r="Y23" i="39"/>
  <c r="Y24" i="39"/>
  <c r="Y15" i="39"/>
  <c r="N27" i="39"/>
  <c r="O27" i="39"/>
  <c r="K27" i="39"/>
  <c r="P27" i="39"/>
  <c r="P27" i="4"/>
  <c r="F50" i="4"/>
  <c r="F52" i="4" s="1"/>
  <c r="I50" i="4"/>
  <c r="I52" i="4" s="1"/>
  <c r="J50" i="4"/>
  <c r="J52" i="4" s="1"/>
  <c r="H50" i="4"/>
  <c r="H52" i="4" s="1"/>
  <c r="Q11" i="39"/>
  <c r="R11" i="39" s="1"/>
  <c r="Q26" i="39"/>
  <c r="R26" i="39" s="1"/>
  <c r="J27" i="39"/>
  <c r="M22" i="39"/>
  <c r="R22" i="39" s="1"/>
  <c r="M20" i="39"/>
  <c r="R20" i="39" s="1"/>
  <c r="M12" i="39"/>
  <c r="M19" i="39"/>
  <c r="M7" i="39"/>
  <c r="C27" i="39"/>
  <c r="M8" i="39"/>
  <c r="R8" i="39" s="1"/>
  <c r="M14" i="39"/>
  <c r="R14" i="39" s="1"/>
  <c r="M13" i="39"/>
  <c r="R13" i="39" s="1"/>
  <c r="M23" i="39"/>
  <c r="M18" i="39"/>
  <c r="R18" i="39" s="1"/>
  <c r="M21" i="39"/>
  <c r="R21" i="39" s="1"/>
  <c r="M25" i="39"/>
  <c r="R25" i="39" s="1"/>
  <c r="M9" i="39"/>
  <c r="R9" i="39" s="1"/>
  <c r="M10" i="39"/>
  <c r="M15" i="39"/>
  <c r="M16" i="39"/>
  <c r="M17" i="39"/>
  <c r="R17" i="39" s="1"/>
  <c r="M24" i="39"/>
  <c r="W27" i="39"/>
  <c r="U22" i="39"/>
  <c r="U13" i="39"/>
  <c r="U17" i="39"/>
  <c r="U23" i="39"/>
  <c r="U11" i="39"/>
  <c r="U15" i="39"/>
  <c r="U18" i="39"/>
  <c r="T27" i="39"/>
  <c r="V11" i="39"/>
  <c r="V27" i="39" s="1"/>
  <c r="S27" i="39"/>
  <c r="U9" i="39"/>
  <c r="U10" i="39"/>
  <c r="U21" i="39"/>
  <c r="U7" i="39"/>
  <c r="U14" i="39"/>
  <c r="U12" i="39"/>
  <c r="U20" i="39"/>
  <c r="U19" i="39"/>
  <c r="U26" i="39"/>
  <c r="U25" i="39"/>
  <c r="U8" i="39"/>
  <c r="U16" i="39"/>
  <c r="U24" i="39"/>
  <c r="B31" i="4"/>
  <c r="W77" i="53" l="1"/>
  <c r="L104" i="52"/>
  <c r="X78" i="51"/>
  <c r="R13" i="49"/>
  <c r="R10" i="49"/>
  <c r="Q27" i="49"/>
  <c r="M27" i="49"/>
  <c r="R7" i="49"/>
  <c r="V27" i="48"/>
  <c r="Q27" i="48"/>
  <c r="R11" i="48"/>
  <c r="M27" i="48"/>
  <c r="R7" i="48"/>
  <c r="R7" i="47"/>
  <c r="R13" i="47"/>
  <c r="Q27" i="47"/>
  <c r="M27" i="47"/>
  <c r="Q27" i="45"/>
  <c r="R20" i="45"/>
  <c r="M27" i="45"/>
  <c r="R7" i="45"/>
  <c r="R27" i="45" s="1"/>
  <c r="Q27" i="44"/>
  <c r="R12" i="44"/>
  <c r="M27" i="44"/>
  <c r="R27" i="44"/>
  <c r="M27" i="39"/>
  <c r="Q27" i="39"/>
  <c r="R19" i="39"/>
  <c r="R10" i="39"/>
  <c r="R15" i="39"/>
  <c r="R23" i="39"/>
  <c r="R16" i="39"/>
  <c r="R12" i="39"/>
  <c r="R7" i="39"/>
  <c r="R24" i="39"/>
  <c r="X20" i="4"/>
  <c r="X8" i="4"/>
  <c r="X9" i="4"/>
  <c r="X10" i="4"/>
  <c r="X11" i="4"/>
  <c r="X12" i="4"/>
  <c r="X13" i="4"/>
  <c r="X14" i="4"/>
  <c r="X15" i="4"/>
  <c r="X16" i="4"/>
  <c r="X17" i="4"/>
  <c r="X18" i="4"/>
  <c r="X19" i="4"/>
  <c r="X21" i="4"/>
  <c r="X22" i="4"/>
  <c r="X23" i="4"/>
  <c r="X24" i="4"/>
  <c r="X25" i="4"/>
  <c r="X26" i="4"/>
  <c r="X7" i="4"/>
  <c r="C7" i="4"/>
  <c r="R7" i="4" s="1"/>
  <c r="C8" i="4"/>
  <c r="R8" i="4" s="1"/>
  <c r="C9" i="4"/>
  <c r="R9" i="4" s="1"/>
  <c r="C10" i="4"/>
  <c r="R10" i="4" s="1"/>
  <c r="C11" i="4"/>
  <c r="R11" i="4" s="1"/>
  <c r="C12" i="4"/>
  <c r="R12" i="4" s="1"/>
  <c r="C13" i="4"/>
  <c r="R13" i="4" s="1"/>
  <c r="C14" i="4"/>
  <c r="R14" i="4" s="1"/>
  <c r="C15" i="4"/>
  <c r="R15" i="4" s="1"/>
  <c r="C16" i="4"/>
  <c r="R16" i="4" s="1"/>
  <c r="C17" i="4"/>
  <c r="R17" i="4" s="1"/>
  <c r="C18" i="4"/>
  <c r="R18" i="4" s="1"/>
  <c r="C19" i="4"/>
  <c r="R19" i="4" s="1"/>
  <c r="C20" i="4"/>
  <c r="R20" i="4" s="1"/>
  <c r="C21" i="4"/>
  <c r="R21" i="4" s="1"/>
  <c r="C23" i="4"/>
  <c r="R23" i="4" s="1"/>
  <c r="C24" i="4"/>
  <c r="R24" i="4" s="1"/>
  <c r="C25" i="4"/>
  <c r="R25" i="4" s="1"/>
  <c r="C26" i="4"/>
  <c r="R26" i="4" s="1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B30" i="4"/>
  <c r="F27" i="4"/>
  <c r="G27" i="4"/>
  <c r="H27" i="4"/>
  <c r="I27" i="4"/>
  <c r="E27" i="4"/>
  <c r="F53" i="4" s="1"/>
  <c r="F54" i="4" s="1"/>
  <c r="U7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Q17" i="4"/>
  <c r="H3" i="3"/>
  <c r="H4" i="3"/>
  <c r="H5" i="3"/>
  <c r="H6" i="3"/>
  <c r="H2" i="3"/>
  <c r="U15" i="4"/>
  <c r="T9" i="4"/>
  <c r="J8" i="4"/>
  <c r="G6" i="3"/>
  <c r="F6" i="3"/>
  <c r="G5" i="3"/>
  <c r="F5" i="3"/>
  <c r="G4" i="3"/>
  <c r="F4" i="3"/>
  <c r="G3" i="3"/>
  <c r="F3" i="3"/>
  <c r="G2" i="3"/>
  <c r="F2" i="3"/>
  <c r="R27" i="49" l="1"/>
  <c r="R27" i="48"/>
  <c r="R27" i="39"/>
  <c r="J57" i="4"/>
  <c r="J53" i="4"/>
  <c r="J54" i="4" s="1"/>
  <c r="J58" i="4"/>
  <c r="J59" i="4" s="1"/>
  <c r="H53" i="4"/>
  <c r="H54" i="4" s="1"/>
  <c r="H58" i="4"/>
  <c r="H59" i="4" s="1"/>
  <c r="H57" i="4"/>
  <c r="R27" i="4"/>
  <c r="F57" i="4"/>
  <c r="F58" i="4"/>
  <c r="F59" i="4" s="1"/>
  <c r="K27" i="4"/>
  <c r="I57" i="4"/>
  <c r="I53" i="4"/>
  <c r="I54" i="4" s="1"/>
  <c r="I58" i="4"/>
  <c r="I59" i="4" s="1"/>
  <c r="G50" i="4"/>
  <c r="G58" i="4"/>
  <c r="G59" i="4" s="1"/>
  <c r="G57" i="4"/>
  <c r="G53" i="4"/>
  <c r="G54" i="4" s="1"/>
  <c r="B54" i="4"/>
  <c r="X27" i="4"/>
  <c r="U26" i="4"/>
  <c r="L25" i="4"/>
  <c r="T23" i="4"/>
  <c r="B68" i="4" s="1"/>
  <c r="J22" i="4"/>
  <c r="W22" i="4" s="1"/>
  <c r="Q20" i="4"/>
  <c r="U18" i="4"/>
  <c r="L17" i="4"/>
  <c r="T15" i="4"/>
  <c r="B60" i="4" s="1"/>
  <c r="J14" i="4"/>
  <c r="W14" i="4" s="1"/>
  <c r="Q12" i="4"/>
  <c r="J11" i="4"/>
  <c r="Q9" i="4"/>
  <c r="T26" i="4"/>
  <c r="B71" i="4" s="1"/>
  <c r="J25" i="4"/>
  <c r="Q23" i="4"/>
  <c r="U21" i="4"/>
  <c r="L20" i="4"/>
  <c r="T18" i="4"/>
  <c r="B63" i="4" s="1"/>
  <c r="J17" i="4"/>
  <c r="W17" i="4" s="1"/>
  <c r="Q15" i="4"/>
  <c r="U13" i="4"/>
  <c r="L12" i="4"/>
  <c r="U10" i="4"/>
  <c r="L9" i="4"/>
  <c r="Q26" i="4"/>
  <c r="U24" i="4"/>
  <c r="L23" i="4"/>
  <c r="T21" i="4"/>
  <c r="B66" i="4" s="1"/>
  <c r="J20" i="4"/>
  <c r="Q18" i="4"/>
  <c r="U16" i="4"/>
  <c r="L15" i="4"/>
  <c r="T13" i="4"/>
  <c r="B58" i="4" s="1"/>
  <c r="J12" i="4"/>
  <c r="T10" i="4"/>
  <c r="B55" i="4" s="1"/>
  <c r="J9" i="4"/>
  <c r="W9" i="4" s="1"/>
  <c r="L26" i="4"/>
  <c r="T24" i="4"/>
  <c r="B69" i="4" s="1"/>
  <c r="J23" i="4"/>
  <c r="Q21" i="4"/>
  <c r="U19" i="4"/>
  <c r="L18" i="4"/>
  <c r="T16" i="4"/>
  <c r="B61" i="4" s="1"/>
  <c r="J15" i="4"/>
  <c r="Q13" i="4"/>
  <c r="U11" i="4"/>
  <c r="Q10" i="4"/>
  <c r="U8" i="4"/>
  <c r="T7" i="4"/>
  <c r="B52" i="4" s="1"/>
  <c r="J26" i="4"/>
  <c r="W26" i="4" s="1"/>
  <c r="Q24" i="4"/>
  <c r="U22" i="4"/>
  <c r="L21" i="4"/>
  <c r="T19" i="4"/>
  <c r="B64" i="4" s="1"/>
  <c r="J18" i="4"/>
  <c r="W18" i="4" s="1"/>
  <c r="Q16" i="4"/>
  <c r="U14" i="4"/>
  <c r="L13" i="4"/>
  <c r="T11" i="4"/>
  <c r="B56" i="4" s="1"/>
  <c r="L10" i="4"/>
  <c r="T8" i="4"/>
  <c r="B53" i="4" s="1"/>
  <c r="Q7" i="4"/>
  <c r="U25" i="4"/>
  <c r="L24" i="4"/>
  <c r="T22" i="4"/>
  <c r="B67" i="4" s="1"/>
  <c r="J21" i="4"/>
  <c r="Q19" i="4"/>
  <c r="U17" i="4"/>
  <c r="L16" i="4"/>
  <c r="T14" i="4"/>
  <c r="B59" i="4" s="1"/>
  <c r="J13" i="4"/>
  <c r="W13" i="4" s="1"/>
  <c r="Q11" i="4"/>
  <c r="J10" i="4"/>
  <c r="W10" i="4" s="1"/>
  <c r="Q8" i="4"/>
  <c r="T25" i="4"/>
  <c r="B70" i="4" s="1"/>
  <c r="J24" i="4"/>
  <c r="Q22" i="4"/>
  <c r="U20" i="4"/>
  <c r="L19" i="4"/>
  <c r="T17" i="4"/>
  <c r="B62" i="4" s="1"/>
  <c r="J16" i="4"/>
  <c r="Q14" i="4"/>
  <c r="U12" i="4"/>
  <c r="U9" i="4"/>
  <c r="L8" i="4"/>
  <c r="Q25" i="4"/>
  <c r="U23" i="4"/>
  <c r="L22" i="4"/>
  <c r="T20" i="4"/>
  <c r="B65" i="4" s="1"/>
  <c r="J19" i="4"/>
  <c r="L14" i="4"/>
  <c r="T12" i="4"/>
  <c r="B57" i="4" s="1"/>
  <c r="L11" i="4"/>
  <c r="N8" i="4"/>
  <c r="W8" i="4"/>
  <c r="B33" i="4"/>
  <c r="G31" i="4" l="1"/>
  <c r="K31" i="4" s="1"/>
  <c r="K50" i="4"/>
  <c r="G52" i="4"/>
  <c r="K52" i="4" s="1"/>
  <c r="F56" i="4"/>
  <c r="K53" i="4"/>
  <c r="I56" i="4"/>
  <c r="H56" i="4"/>
  <c r="G56" i="4"/>
  <c r="K58" i="4"/>
  <c r="J56" i="4"/>
  <c r="Q27" i="4"/>
  <c r="K57" i="4"/>
  <c r="B29" i="4"/>
  <c r="V8" i="4"/>
  <c r="T27" i="4"/>
  <c r="B50" i="4"/>
  <c r="B40" i="4"/>
  <c r="N16" i="4"/>
  <c r="B48" i="4"/>
  <c r="B49" i="4"/>
  <c r="V26" i="4"/>
  <c r="N12" i="4"/>
  <c r="B37" i="4"/>
  <c r="B36" i="4"/>
  <c r="V11" i="4"/>
  <c r="N11" i="4"/>
  <c r="W11" i="4"/>
  <c r="V10" i="4"/>
  <c r="W21" i="4"/>
  <c r="W20" i="4"/>
  <c r="W16" i="4"/>
  <c r="W7" i="4"/>
  <c r="V17" i="4"/>
  <c r="V13" i="4"/>
  <c r="W19" i="4"/>
  <c r="V21" i="4"/>
  <c r="N24" i="4"/>
  <c r="W24" i="4"/>
  <c r="V7" i="4"/>
  <c r="W25" i="4"/>
  <c r="N15" i="4"/>
  <c r="B44" i="4"/>
  <c r="N20" i="4"/>
  <c r="V19" i="4"/>
  <c r="B41" i="4"/>
  <c r="W12" i="4"/>
  <c r="W23" i="4"/>
  <c r="V20" i="4"/>
  <c r="B45" i="4"/>
  <c r="V12" i="4"/>
  <c r="V9" i="4"/>
  <c r="V24" i="4"/>
  <c r="N19" i="4"/>
  <c r="V14" i="4"/>
  <c r="V23" i="4"/>
  <c r="N23" i="4"/>
  <c r="V15" i="4"/>
  <c r="V22" i="4"/>
  <c r="V16" i="4"/>
  <c r="W15" i="4"/>
  <c r="V18" i="4"/>
  <c r="V25" i="4"/>
  <c r="N25" i="4"/>
  <c r="S8" i="4"/>
  <c r="G48" i="4" l="1"/>
  <c r="K48" i="4" s="1"/>
  <c r="G47" i="4"/>
  <c r="K47" i="4" s="1"/>
  <c r="G38" i="4"/>
  <c r="K38" i="4" s="1"/>
  <c r="G35" i="4"/>
  <c r="K35" i="4" s="1"/>
  <c r="G42" i="4"/>
  <c r="K42" i="4" s="1"/>
  <c r="G43" i="4"/>
  <c r="K43" i="4" s="1"/>
  <c r="G34" i="4"/>
  <c r="K34" i="4" s="1"/>
  <c r="G39" i="4"/>
  <c r="K39" i="4" s="1"/>
  <c r="G46" i="4"/>
  <c r="K46" i="4" s="1"/>
  <c r="K56" i="4"/>
  <c r="K54" i="4"/>
  <c r="C27" i="4"/>
  <c r="W27" i="4"/>
  <c r="B42" i="4"/>
  <c r="B38" i="4"/>
  <c r="N26" i="4"/>
  <c r="B35" i="4"/>
  <c r="B39" i="4"/>
  <c r="B43" i="4"/>
  <c r="B47" i="4"/>
  <c r="N21" i="4"/>
  <c r="N10" i="4"/>
  <c r="N17" i="4"/>
  <c r="B51" i="4"/>
  <c r="S11" i="4"/>
  <c r="S12" i="4"/>
  <c r="N14" i="4"/>
  <c r="N9" i="4"/>
  <c r="B46" i="4"/>
  <c r="S15" i="4"/>
  <c r="S24" i="4"/>
  <c r="N22" i="4"/>
  <c r="S19" i="4"/>
  <c r="B34" i="4"/>
  <c r="N18" i="4"/>
  <c r="S23" i="4"/>
  <c r="S16" i="4"/>
  <c r="S20" i="4"/>
  <c r="N13" i="4"/>
  <c r="S25" i="4"/>
  <c r="N7" i="4"/>
  <c r="G30" i="4" s="1"/>
  <c r="K30" i="4" s="1"/>
  <c r="B32" i="4"/>
  <c r="G45" i="4" l="1"/>
  <c r="K45" i="4" s="1"/>
  <c r="G49" i="4"/>
  <c r="K49" i="4" s="1"/>
  <c r="G33" i="4"/>
  <c r="K33" i="4" s="1"/>
  <c r="G44" i="4"/>
  <c r="K44" i="4" s="1"/>
  <c r="G36" i="4"/>
  <c r="K36" i="4" s="1"/>
  <c r="G40" i="4"/>
  <c r="K40" i="4" s="1"/>
  <c r="G32" i="4"/>
  <c r="K32" i="4" s="1"/>
  <c r="G41" i="4"/>
  <c r="K41" i="4" s="1"/>
  <c r="G37" i="4"/>
  <c r="K37" i="4" s="1"/>
  <c r="L56" i="4"/>
  <c r="S7" i="4"/>
  <c r="N27" i="4"/>
  <c r="S26" i="4"/>
  <c r="S10" i="4"/>
  <c r="S17" i="4"/>
  <c r="S14" i="4"/>
  <c r="S9" i="4"/>
  <c r="S21" i="4"/>
  <c r="S22" i="4"/>
  <c r="S13" i="4"/>
  <c r="S18" i="4"/>
  <c r="B28" i="4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<sst xmlns="http://schemas.openxmlformats.org/spreadsheetml/2006/main" count="2473" uniqueCount="715">
  <si>
    <t>Month</t>
  </si>
  <si>
    <t>Hours</t>
  </si>
  <si>
    <t>Max_Capacity</t>
  </si>
  <si>
    <t>X_Stockpile_t</t>
  </si>
  <si>
    <t>X_Colombian_t</t>
  </si>
  <si>
    <t>X_Russian_t</t>
  </si>
  <si>
    <t>X_Scottish_t</t>
  </si>
  <si>
    <t>X_Wood_t</t>
  </si>
  <si>
    <t>Thermal_Input_GJ</t>
  </si>
  <si>
    <t>Total_MWh</t>
  </si>
  <si>
    <t>Wood_Chips_MWh</t>
  </si>
  <si>
    <t>Price_per
MWh</t>
  </si>
  <si>
    <t>Revenue</t>
  </si>
  <si>
    <t>ROC_Revenue</t>
  </si>
  <si>
    <t>Grid_Charge</t>
  </si>
  <si>
    <t>Fuel_Cost</t>
  </si>
  <si>
    <t>CO2_Cost</t>
  </si>
  <si>
    <t>Profit</t>
  </si>
  <si>
    <t>Wood_Thermal_GJ</t>
  </si>
  <si>
    <t>SO2_tonnes</t>
  </si>
  <si>
    <t>Biomass_share</t>
  </si>
  <si>
    <t>Thermal_Input_GJ*0.1</t>
  </si>
  <si>
    <t>Coal fule</t>
  </si>
  <si>
    <t>Wood_Chips_Constraint</t>
  </si>
  <si>
    <t>June - Weekday Peak</t>
  </si>
  <si>
    <t>June - Weekday Off-peak</t>
  </si>
  <si>
    <t>June - Weekend Peak</t>
  </si>
  <si>
    <t>June - Weekend Off-peak</t>
  </si>
  <si>
    <t>July - Weekday Peak</t>
  </si>
  <si>
    <t>July - Weekday Off-peak</t>
  </si>
  <si>
    <t>July - Weekend Peak</t>
  </si>
  <si>
    <t>July - Weekend Off-peak</t>
  </si>
  <si>
    <t>August - Weekday Peak</t>
  </si>
  <si>
    <t>August - Weekday Off-peak</t>
  </si>
  <si>
    <t>August - Weekend Peak</t>
  </si>
  <si>
    <t>August - Weekend Off-peak</t>
  </si>
  <si>
    <t>September - Weekday Peak</t>
  </si>
  <si>
    <t>September - Weekday Off-peak</t>
  </si>
  <si>
    <t>September - Weekend Peak</t>
  </si>
  <si>
    <t>September - Weekend Off-peak</t>
  </si>
  <si>
    <t>October - Weekday Peak</t>
  </si>
  <si>
    <t>October - Weekday Off-peak</t>
  </si>
  <si>
    <t>October - Weekend Peak</t>
  </si>
  <si>
    <t>October - Weekend Off-peak</t>
  </si>
  <si>
    <t xml:space="preserve">Total </t>
  </si>
  <si>
    <t>Period</t>
  </si>
  <si>
    <t>Electricity_Forward_Price</t>
  </si>
  <si>
    <t>Scalars</t>
  </si>
  <si>
    <t>Value</t>
  </si>
  <si>
    <t>Fuel</t>
  </si>
  <si>
    <t>Stockpile coal</t>
  </si>
  <si>
    <t>Colombian coal</t>
  </si>
  <si>
    <t>Russian coal</t>
  </si>
  <si>
    <t>Scottish coal</t>
  </si>
  <si>
    <t>Wood chips</t>
  </si>
  <si>
    <t>Efficiency</t>
  </si>
  <si>
    <t>Price_per_t</t>
  </si>
  <si>
    <t>Plant_Capacity_MW</t>
  </si>
  <si>
    <t>CV_GJ_per_t</t>
  </si>
  <si>
    <t>Grid_Charge_per_MWh</t>
  </si>
  <si>
    <t>SO2_percent</t>
  </si>
  <si>
    <t>CO2_Intensity_t_per_MWh</t>
  </si>
  <si>
    <t>CO2_Cost_EUR_per_t</t>
  </si>
  <si>
    <t>FX_EUR_per_GBP</t>
  </si>
  <si>
    <t>ROC_per_MWh</t>
  </si>
  <si>
    <t>Sulphur_Allowance_t</t>
  </si>
  <si>
    <t>Stockpile_Tonnes</t>
  </si>
  <si>
    <t>Biomass_Share_Max</t>
  </si>
  <si>
    <t>Hours_Peak_per_Day</t>
  </si>
  <si>
    <t>Hours_Offpeak_per_Day</t>
  </si>
  <si>
    <t>P_Colombian_t</t>
  </si>
  <si>
    <t>P_Russian_t</t>
  </si>
  <si>
    <t>P_Scottish_t</t>
  </si>
  <si>
    <t>Microsoft Excel 16.102 Sensitivity Report</t>
  </si>
  <si>
    <t>Worksheet: [GROUP_I_IC.xlsx]Final</t>
  </si>
  <si>
    <t>Report Created: 11/13/25 22:52:19</t>
  </si>
  <si>
    <t>Variable Cells</t>
  </si>
  <si>
    <t>Final</t>
  </si>
  <si>
    <t>Reduced</t>
  </si>
  <si>
    <t>Objective</t>
  </si>
  <si>
    <t>Allowable</t>
  </si>
  <si>
    <t>Cell</t>
  </si>
  <si>
    <t>Name</t>
  </si>
  <si>
    <t>Cost</t>
  </si>
  <si>
    <t>Coefficient</t>
  </si>
  <si>
    <t>Increase</t>
  </si>
  <si>
    <t>Decrease</t>
  </si>
  <si>
    <t>$D$7</t>
  </si>
  <si>
    <t>June - Weekday Peak X_Stockpile_t</t>
  </si>
  <si>
    <t>$E$7</t>
  </si>
  <si>
    <t>June - Weekday Peak X_Colombian_t</t>
  </si>
  <si>
    <t>$F$7</t>
  </si>
  <si>
    <t>June - Weekday Peak X_Russian_t</t>
  </si>
  <si>
    <t>$G$7</t>
  </si>
  <si>
    <t>June - Weekday Peak X_Scottish_t</t>
  </si>
  <si>
    <t>$H$7</t>
  </si>
  <si>
    <t>June - Weekday Peak X_Wood_t</t>
  </si>
  <si>
    <t>$D$8</t>
  </si>
  <si>
    <t>June - Weekday Off-peak X_Stockpile_t</t>
  </si>
  <si>
    <t>$E$8</t>
  </si>
  <si>
    <t>June - Weekday Off-peak X_Colombian_t</t>
  </si>
  <si>
    <t>$F$8</t>
  </si>
  <si>
    <t>June - Weekday Off-peak X_Russian_t</t>
  </si>
  <si>
    <t>$G$8</t>
  </si>
  <si>
    <t>June - Weekday Off-peak X_Scottish_t</t>
  </si>
  <si>
    <t>$H$8</t>
  </si>
  <si>
    <t>June - Weekday Off-peak X_Wood_t</t>
  </si>
  <si>
    <t>$D$9</t>
  </si>
  <si>
    <t>June - Weekend Peak X_Stockpile_t</t>
  </si>
  <si>
    <t>$E$9</t>
  </si>
  <si>
    <t>June - Weekend Peak X_Colombian_t</t>
  </si>
  <si>
    <t>$F$9</t>
  </si>
  <si>
    <t>June - Weekend Peak X_Russian_t</t>
  </si>
  <si>
    <t>$G$9</t>
  </si>
  <si>
    <t>June - Weekend Peak X_Scottish_t</t>
  </si>
  <si>
    <t>$H$9</t>
  </si>
  <si>
    <t>June - Weekend Peak X_Wood_t</t>
  </si>
  <si>
    <t>$D$10</t>
  </si>
  <si>
    <t>June - Weekend Off-peak X_Stockpile_t</t>
  </si>
  <si>
    <t>$E$10</t>
  </si>
  <si>
    <t>June - Weekend Off-peak X_Colombian_t</t>
  </si>
  <si>
    <t>$F$10</t>
  </si>
  <si>
    <t>June - Weekend Off-peak X_Russian_t</t>
  </si>
  <si>
    <t>$G$10</t>
  </si>
  <si>
    <t>June - Weekend Off-peak X_Scottish_t</t>
  </si>
  <si>
    <t>$H$10</t>
  </si>
  <si>
    <t>June - Weekend Off-peak X_Wood_t</t>
  </si>
  <si>
    <t>$D$11</t>
  </si>
  <si>
    <t>July - Weekday Peak X_Stockpile_t</t>
  </si>
  <si>
    <t>$E$11</t>
  </si>
  <si>
    <t>July - Weekday Peak X_Colombian_t</t>
  </si>
  <si>
    <t>$F$11</t>
  </si>
  <si>
    <t>July - Weekday Peak X_Russian_t</t>
  </si>
  <si>
    <t>$G$11</t>
  </si>
  <si>
    <t>July - Weekday Peak X_Scottish_t</t>
  </si>
  <si>
    <t>$H$11</t>
  </si>
  <si>
    <t>July - Weekday Peak X_Wood_t</t>
  </si>
  <si>
    <t>$D$12</t>
  </si>
  <si>
    <t>July - Weekday Off-peak X_Stockpile_t</t>
  </si>
  <si>
    <t>$E$12</t>
  </si>
  <si>
    <t>July - Weekday Off-peak X_Colombian_t</t>
  </si>
  <si>
    <t>$F$12</t>
  </si>
  <si>
    <t>July - Weekday Off-peak X_Russian_t</t>
  </si>
  <si>
    <t>$G$12</t>
  </si>
  <si>
    <t>July - Weekday Off-peak X_Scottish_t</t>
  </si>
  <si>
    <t>$H$12</t>
  </si>
  <si>
    <t>July - Weekday Off-peak X_Wood_t</t>
  </si>
  <si>
    <t>$D$13</t>
  </si>
  <si>
    <t>July - Weekend Peak X_Stockpile_t</t>
  </si>
  <si>
    <t>$E$13</t>
  </si>
  <si>
    <t>July - Weekend Peak X_Colombian_t</t>
  </si>
  <si>
    <t>$F$13</t>
  </si>
  <si>
    <t>July - Weekend Peak X_Russian_t</t>
  </si>
  <si>
    <t>$G$13</t>
  </si>
  <si>
    <t>July - Weekend Peak X_Scottish_t</t>
  </si>
  <si>
    <t>$H$13</t>
  </si>
  <si>
    <t>July - Weekend Peak X_Wood_t</t>
  </si>
  <si>
    <t>$D$14</t>
  </si>
  <si>
    <t>July - Weekend Off-peak X_Stockpile_t</t>
  </si>
  <si>
    <t>$E$14</t>
  </si>
  <si>
    <t>July - Weekend Off-peak X_Colombian_t</t>
  </si>
  <si>
    <t>$F$14</t>
  </si>
  <si>
    <t>July - Weekend Off-peak X_Russian_t</t>
  </si>
  <si>
    <t>$G$14</t>
  </si>
  <si>
    <t>July - Weekend Off-peak X_Scottish_t</t>
  </si>
  <si>
    <t>$H$14</t>
  </si>
  <si>
    <t>July - Weekend Off-peak X_Wood_t</t>
  </si>
  <si>
    <t>$D$15</t>
  </si>
  <si>
    <t>August - Weekday Peak X_Stockpile_t</t>
  </si>
  <si>
    <t>$E$15</t>
  </si>
  <si>
    <t>August - Weekday Peak X_Colombian_t</t>
  </si>
  <si>
    <t>$F$15</t>
  </si>
  <si>
    <t>August - Weekday Peak X_Russian_t</t>
  </si>
  <si>
    <t>$G$15</t>
  </si>
  <si>
    <t>August - Weekday Peak X_Scottish_t</t>
  </si>
  <si>
    <t>$H$15</t>
  </si>
  <si>
    <t>August - Weekday Peak X_Wood_t</t>
  </si>
  <si>
    <t>$D$16</t>
  </si>
  <si>
    <t>August - Weekday Off-peak X_Stockpile_t</t>
  </si>
  <si>
    <t>$E$16</t>
  </si>
  <si>
    <t>August - Weekday Off-peak X_Colombian_t</t>
  </si>
  <si>
    <t>$F$16</t>
  </si>
  <si>
    <t>August - Weekday Off-peak X_Russian_t</t>
  </si>
  <si>
    <t>$G$16</t>
  </si>
  <si>
    <t>August - Weekday Off-peak X_Scottish_t</t>
  </si>
  <si>
    <t>$H$16</t>
  </si>
  <si>
    <t>August - Weekday Off-peak X_Wood_t</t>
  </si>
  <si>
    <t>$D$17</t>
  </si>
  <si>
    <t>August - Weekend Peak X_Stockpile_t</t>
  </si>
  <si>
    <t>$E$17</t>
  </si>
  <si>
    <t>August - Weekend Peak X_Colombian_t</t>
  </si>
  <si>
    <t>$F$17</t>
  </si>
  <si>
    <t>August - Weekend Peak X_Russian_t</t>
  </si>
  <si>
    <t>$G$17</t>
  </si>
  <si>
    <t>August - Weekend Peak X_Scottish_t</t>
  </si>
  <si>
    <t>$H$17</t>
  </si>
  <si>
    <t>August - Weekend Peak X_Wood_t</t>
  </si>
  <si>
    <t>$D$18</t>
  </si>
  <si>
    <t>August - Weekend Off-peak X_Stockpile_t</t>
  </si>
  <si>
    <t>$E$18</t>
  </si>
  <si>
    <t>August - Weekend Off-peak X_Colombian_t</t>
  </si>
  <si>
    <t>$F$18</t>
  </si>
  <si>
    <t>August - Weekend Off-peak X_Russian_t</t>
  </si>
  <si>
    <t>$G$18</t>
  </si>
  <si>
    <t>August - Weekend Off-peak X_Scottish_t</t>
  </si>
  <si>
    <t>$H$18</t>
  </si>
  <si>
    <t>August - Weekend Off-peak X_Wood_t</t>
  </si>
  <si>
    <t>$D$19</t>
  </si>
  <si>
    <t>September - Weekday Peak X_Stockpile_t</t>
  </si>
  <si>
    <t>$E$19</t>
  </si>
  <si>
    <t>September - Weekday Peak X_Colombian_t</t>
  </si>
  <si>
    <t>$F$19</t>
  </si>
  <si>
    <t>September - Weekday Peak X_Russian_t</t>
  </si>
  <si>
    <t>$G$19</t>
  </si>
  <si>
    <t>September - Weekday Peak X_Scottish_t</t>
  </si>
  <si>
    <t>$H$19</t>
  </si>
  <si>
    <t>September - Weekday Peak X_Wood_t</t>
  </si>
  <si>
    <t>$D$20</t>
  </si>
  <si>
    <t>September - Weekday Off-peak X_Stockpile_t</t>
  </si>
  <si>
    <t>$E$20</t>
  </si>
  <si>
    <t>September - Weekday Off-peak X_Colombian_t</t>
  </si>
  <si>
    <t>$F$20</t>
  </si>
  <si>
    <t>September - Weekday Off-peak X_Russian_t</t>
  </si>
  <si>
    <t>$G$20</t>
  </si>
  <si>
    <t>September - Weekday Off-peak X_Scottish_t</t>
  </si>
  <si>
    <t>$H$20</t>
  </si>
  <si>
    <t>September - Weekday Off-peak X_Wood_t</t>
  </si>
  <si>
    <t>$D$21</t>
  </si>
  <si>
    <t>September - Weekend Peak X_Stockpile_t</t>
  </si>
  <si>
    <t>$E$21</t>
  </si>
  <si>
    <t>September - Weekend Peak X_Colombian_t</t>
  </si>
  <si>
    <t>$F$21</t>
  </si>
  <si>
    <t>September - Weekend Peak X_Russian_t</t>
  </si>
  <si>
    <t>$G$21</t>
  </si>
  <si>
    <t>September - Weekend Peak X_Scottish_t</t>
  </si>
  <si>
    <t>$H$21</t>
  </si>
  <si>
    <t>September - Weekend Peak X_Wood_t</t>
  </si>
  <si>
    <t>$D$22</t>
  </si>
  <si>
    <t>September - Weekend Off-peak X_Stockpile_t</t>
  </si>
  <si>
    <t>$E$22</t>
  </si>
  <si>
    <t>September - Weekend Off-peak X_Colombian_t</t>
  </si>
  <si>
    <t>$F$22</t>
  </si>
  <si>
    <t>September - Weekend Off-peak X_Russian_t</t>
  </si>
  <si>
    <t>$G$22</t>
  </si>
  <si>
    <t>September - Weekend Off-peak X_Scottish_t</t>
  </si>
  <si>
    <t>$H$22</t>
  </si>
  <si>
    <t>September - Weekend Off-peak X_Wood_t</t>
  </si>
  <si>
    <t>$D$23</t>
  </si>
  <si>
    <t>October - Weekday Peak X_Stockpile_t</t>
  </si>
  <si>
    <t>$E$23</t>
  </si>
  <si>
    <t>October - Weekday Peak X_Colombian_t</t>
  </si>
  <si>
    <t>$F$23</t>
  </si>
  <si>
    <t>October - Weekday Peak X_Russian_t</t>
  </si>
  <si>
    <t>$G$23</t>
  </si>
  <si>
    <t>October - Weekday Peak X_Scottish_t</t>
  </si>
  <si>
    <t>$H$23</t>
  </si>
  <si>
    <t>October - Weekday Peak X_Wood_t</t>
  </si>
  <si>
    <t>$D$24</t>
  </si>
  <si>
    <t>October - Weekday Off-peak X_Stockpile_t</t>
  </si>
  <si>
    <t>$E$24</t>
  </si>
  <si>
    <t>October - Weekday Off-peak X_Colombian_t</t>
  </si>
  <si>
    <t>$F$24</t>
  </si>
  <si>
    <t>October - Weekday Off-peak X_Russian_t</t>
  </si>
  <si>
    <t>$G$24</t>
  </si>
  <si>
    <t>October - Weekday Off-peak X_Scottish_t</t>
  </si>
  <si>
    <t>$H$24</t>
  </si>
  <si>
    <t>October - Weekday Off-peak X_Wood_t</t>
  </si>
  <si>
    <t>$D$25</t>
  </si>
  <si>
    <t>October - Weekend Peak X_Stockpile_t</t>
  </si>
  <si>
    <t>$E$25</t>
  </si>
  <si>
    <t>October - Weekend Peak X_Colombian_t</t>
  </si>
  <si>
    <t>$F$25</t>
  </si>
  <si>
    <t>October - Weekend Peak X_Russian_t</t>
  </si>
  <si>
    <t>$G$25</t>
  </si>
  <si>
    <t>October - Weekend Peak X_Scottish_t</t>
  </si>
  <si>
    <t>$H$25</t>
  </si>
  <si>
    <t>October - Weekend Peak X_Wood_t</t>
  </si>
  <si>
    <t>$D$26</t>
  </si>
  <si>
    <t>October - Weekend Off-peak X_Stockpile_t</t>
  </si>
  <si>
    <t>$E$26</t>
  </si>
  <si>
    <t>October - Weekend Off-peak X_Colombian_t</t>
  </si>
  <si>
    <t>$F$26</t>
  </si>
  <si>
    <t>October - Weekend Off-peak X_Russian_t</t>
  </si>
  <si>
    <t>$G$26</t>
  </si>
  <si>
    <t>October - Weekend Off-peak X_Scottish_t</t>
  </si>
  <si>
    <t>$H$26</t>
  </si>
  <si>
    <t>October - Weekend Off-peak X_Wood_t</t>
  </si>
  <si>
    <t>Constraints</t>
  </si>
  <si>
    <t>Shadow</t>
  </si>
  <si>
    <t>Constraint</t>
  </si>
  <si>
    <t>Price</t>
  </si>
  <si>
    <t>R.H. Side</t>
  </si>
  <si>
    <t>$D$27</t>
  </si>
  <si>
    <t>Total  X_Stockpile_t</t>
  </si>
  <si>
    <t>$J$7</t>
  </si>
  <si>
    <t>June - Weekday Peak Total_MWh</t>
  </si>
  <si>
    <t>$J$8</t>
  </si>
  <si>
    <t>June - Weekday Off-peak Total_MWh</t>
  </si>
  <si>
    <t>$J$9</t>
  </si>
  <si>
    <t>June - Weekend Peak Total_MWh</t>
  </si>
  <si>
    <t>$J$10</t>
  </si>
  <si>
    <t>June - Weekend Off-peak Total_MWh</t>
  </si>
  <si>
    <t>$J$11</t>
  </si>
  <si>
    <t>July - Weekday Peak Total_MWh</t>
  </si>
  <si>
    <t>$J$12</t>
  </si>
  <si>
    <t>July - Weekday Off-peak Total_MWh</t>
  </si>
  <si>
    <t>$J$13</t>
  </si>
  <si>
    <t>July - Weekend Peak Total_MWh</t>
  </si>
  <si>
    <t>$J$14</t>
  </si>
  <si>
    <t>July - Weekend Off-peak Total_MWh</t>
  </si>
  <si>
    <t>$J$15</t>
  </si>
  <si>
    <t>August - Weekday Peak Total_MWh</t>
  </si>
  <si>
    <t>$J$16</t>
  </si>
  <si>
    <t>August - Weekday Off-peak Total_MWh</t>
  </si>
  <si>
    <t>$J$17</t>
  </si>
  <si>
    <t>August - Weekend Peak Total_MWh</t>
  </si>
  <si>
    <t>$J$18</t>
  </si>
  <si>
    <t>August - Weekend Off-peak Total_MWh</t>
  </si>
  <si>
    <t>$J$19</t>
  </si>
  <si>
    <t>September - Weekday Peak Total_MWh</t>
  </si>
  <si>
    <t>$J$20</t>
  </si>
  <si>
    <t>September - Weekday Off-peak Total_MWh</t>
  </si>
  <si>
    <t>$J$21</t>
  </si>
  <si>
    <t>September - Weekend Peak Total_MWh</t>
  </si>
  <si>
    <t>$J$22</t>
  </si>
  <si>
    <t>September - Weekend Off-peak Total_MWh</t>
  </si>
  <si>
    <t>$J$23</t>
  </si>
  <si>
    <t>October - Weekday Peak Total_MWh</t>
  </si>
  <si>
    <t>$J$24</t>
  </si>
  <si>
    <t>October - Weekday Off-peak Total_MWh</t>
  </si>
  <si>
    <t>$J$25</t>
  </si>
  <si>
    <t>October - Weekend Peak Total_MWh</t>
  </si>
  <si>
    <t>$J$26</t>
  </si>
  <si>
    <t>October - Weekend Off-peak Total_MWh</t>
  </si>
  <si>
    <t>$T$27</t>
  </si>
  <si>
    <t>Total  SO2_tonnes</t>
  </si>
  <si>
    <t>$Y$7</t>
  </si>
  <si>
    <t>June - Weekday Peak Wood_Chips_Constraint</t>
  </si>
  <si>
    <t>$Y$8</t>
  </si>
  <si>
    <t>June - Weekday Off-peak Wood_Chips_Constraint</t>
  </si>
  <si>
    <t>$Y$9</t>
  </si>
  <si>
    <t>June - Weekend Peak Wood_Chips_Constraint</t>
  </si>
  <si>
    <t>$Y$10</t>
  </si>
  <si>
    <t>June - Weekend Off-peak Wood_Chips_Constraint</t>
  </si>
  <si>
    <t>$Y$11</t>
  </si>
  <si>
    <t>July - Weekday Peak Wood_Chips_Constraint</t>
  </si>
  <si>
    <t>$Y$12</t>
  </si>
  <si>
    <t>July - Weekday Off-peak Wood_Chips_Constraint</t>
  </si>
  <si>
    <t>$Y$13</t>
  </si>
  <si>
    <t>July - Weekend Peak Wood_Chips_Constraint</t>
  </si>
  <si>
    <t>$Y$14</t>
  </si>
  <si>
    <t>July - Weekend Off-peak Wood_Chips_Constraint</t>
  </si>
  <si>
    <t>$Y$15</t>
  </si>
  <si>
    <t>August - Weekday Peak Wood_Chips_Constraint</t>
  </si>
  <si>
    <t>$Y$16</t>
  </si>
  <si>
    <t>August - Weekday Off-peak Wood_Chips_Constraint</t>
  </si>
  <si>
    <t>$Y$17</t>
  </si>
  <si>
    <t>August - Weekend Peak Wood_Chips_Constraint</t>
  </si>
  <si>
    <t>$Y$18</t>
  </si>
  <si>
    <t>August - Weekend Off-peak Wood_Chips_Constraint</t>
  </si>
  <si>
    <t>$Y$19</t>
  </si>
  <si>
    <t>September - Weekday Peak Wood_Chips_Constraint</t>
  </si>
  <si>
    <t>$Y$20</t>
  </si>
  <si>
    <t>September - Weekday Off-peak Wood_Chips_Constraint</t>
  </si>
  <si>
    <t>$Y$21</t>
  </si>
  <si>
    <t>September - Weekend Peak Wood_Chips_Constraint</t>
  </si>
  <si>
    <t>$Y$22</t>
  </si>
  <si>
    <t>September - Weekend Off-peak Wood_Chips_Constraint</t>
  </si>
  <si>
    <t>$Y$23</t>
  </si>
  <si>
    <t>October - Weekday Peak Wood_Chips_Constraint</t>
  </si>
  <si>
    <t>$Y$24</t>
  </si>
  <si>
    <t>October - Weekday Off-peak Wood_Chips_Constraint</t>
  </si>
  <si>
    <t>$Y$25</t>
  </si>
  <si>
    <t>October - Weekend Peak Wood_Chips_Constraint</t>
  </si>
  <si>
    <t>$Y$26</t>
  </si>
  <si>
    <t>October - Weekend Off-peak Wood_Chips_Constraint</t>
  </si>
  <si>
    <t>Microsoft Excel 16.102 Answer Report</t>
  </si>
  <si>
    <t>Report Created: 11/13/25 22:52:17</t>
  </si>
  <si>
    <t>Result: Solver found a solution.  All constraints and optimality conditions are satisfied.</t>
  </si>
  <si>
    <t>Solver Engine</t>
  </si>
  <si>
    <t>Engine: Simplex LP</t>
  </si>
  <si>
    <t>Solution Time: 38655078.443 Seconds.</t>
  </si>
  <si>
    <t>Iterations: 39 Subproblems: 0</t>
  </si>
  <si>
    <t>Solver Options</t>
  </si>
  <si>
    <t>Max Time Unlimited, Iterations Unlimited, Precision 0.000001</t>
  </si>
  <si>
    <t>Max Subproblems Unlimited, Max Integer Sols Unlimited, Integer Tolerance 1%, Solve Without Integer Constraints, Assume NonNegative</t>
  </si>
  <si>
    <t>Objective Cell (Max)</t>
  </si>
  <si>
    <t>Original Value</t>
  </si>
  <si>
    <t>Final Value</t>
  </si>
  <si>
    <t>$R$27</t>
  </si>
  <si>
    <t>Total  Profit</t>
  </si>
  <si>
    <t>Integer</t>
  </si>
  <si>
    <t>Contin</t>
  </si>
  <si>
    <t>Cell Value</t>
  </si>
  <si>
    <t>Formula</t>
  </si>
  <si>
    <t>Status</t>
  </si>
  <si>
    <t>Slack</t>
  </si>
  <si>
    <t>$D$27&lt;=$K$38</t>
  </si>
  <si>
    <t>Not Binding</t>
  </si>
  <si>
    <t>$J$7&lt;=$C$7</t>
  </si>
  <si>
    <t>Binding</t>
  </si>
  <si>
    <t>$J$8&lt;=$C$8</t>
  </si>
  <si>
    <t>$J$9&lt;=$C$9</t>
  </si>
  <si>
    <t>$J$10&lt;=$C$10</t>
  </si>
  <si>
    <t>$J$11&lt;=$C$11</t>
  </si>
  <si>
    <t>$J$12&lt;=$C$12</t>
  </si>
  <si>
    <t>$J$13&lt;=$C$13</t>
  </si>
  <si>
    <t>$J$14&lt;=$C$14</t>
  </si>
  <si>
    <t>$J$15&lt;=$C$15</t>
  </si>
  <si>
    <t>$J$16&lt;=$C$16</t>
  </si>
  <si>
    <t>$J$17&lt;=$C$17</t>
  </si>
  <si>
    <t>$J$18&lt;=$C$18</t>
  </si>
  <si>
    <t>$J$19&lt;=$C$19</t>
  </si>
  <si>
    <t>$J$20&lt;=$C$20</t>
  </si>
  <si>
    <t>$J$21&lt;=$C$21</t>
  </si>
  <si>
    <t>$J$22&lt;=$C$22</t>
  </si>
  <si>
    <t>$J$23&lt;=$C$23</t>
  </si>
  <si>
    <t>$J$24&lt;=$C$24</t>
  </si>
  <si>
    <t>$J$25&lt;=$C$25</t>
  </si>
  <si>
    <t>$J$26&lt;=$C$26</t>
  </si>
  <si>
    <t>$T$27&lt;=$K$37</t>
  </si>
  <si>
    <t>$Y$7&lt;=0</t>
  </si>
  <si>
    <t>$Y$8&lt;=0</t>
  </si>
  <si>
    <t>$Y$9&lt;=0</t>
  </si>
  <si>
    <t>$Y$10&lt;=0</t>
  </si>
  <si>
    <t>$Y$11&lt;=0</t>
  </si>
  <si>
    <t>$Y$12&lt;=0</t>
  </si>
  <si>
    <t>$Y$13&lt;=0</t>
  </si>
  <si>
    <t>$Y$14&lt;=0</t>
  </si>
  <si>
    <t>$Y$15&lt;=0</t>
  </si>
  <si>
    <t>$Y$16&lt;=0</t>
  </si>
  <si>
    <t>$Y$17&lt;=0</t>
  </si>
  <si>
    <t>$Y$18&lt;=0</t>
  </si>
  <si>
    <t>$Y$19&lt;=0</t>
  </si>
  <si>
    <t>$Y$20&lt;=0</t>
  </si>
  <si>
    <t>$Y$21&lt;=0</t>
  </si>
  <si>
    <t>$Y$22&lt;=0</t>
  </si>
  <si>
    <t>$Y$23&lt;=0</t>
  </si>
  <si>
    <t>$Y$24&lt;=0</t>
  </si>
  <si>
    <t>$Y$25&lt;=0</t>
  </si>
  <si>
    <t>$Y$26&lt;=0</t>
  </si>
  <si>
    <t>$E$7=0</t>
  </si>
  <si>
    <t>$F$7=0</t>
  </si>
  <si>
    <t>$G$7=0</t>
  </si>
  <si>
    <t>$E$8=0</t>
  </si>
  <si>
    <t>$F$8=0</t>
  </si>
  <si>
    <t>$G$8=0</t>
  </si>
  <si>
    <t>$E$9=0</t>
  </si>
  <si>
    <t>$F$9=0</t>
  </si>
  <si>
    <t>$G$9=0</t>
  </si>
  <si>
    <t>$E$10=0</t>
  </si>
  <si>
    <t>$F$10=0</t>
  </si>
  <si>
    <t>$G$10=0</t>
  </si>
  <si>
    <t>$E$11=0</t>
  </si>
  <si>
    <t>$F$11=0</t>
  </si>
  <si>
    <t>$G$11=0</t>
  </si>
  <si>
    <t>$E$12=0</t>
  </si>
  <si>
    <t>$F$12=0</t>
  </si>
  <si>
    <t>$G$12=0</t>
  </si>
  <si>
    <t>$E$13=0</t>
  </si>
  <si>
    <t>$F$13=0</t>
  </si>
  <si>
    <t>$G$13=0</t>
  </si>
  <si>
    <t>$E$14=0</t>
  </si>
  <si>
    <t>$F$14=0</t>
  </si>
  <si>
    <t>$G$14=0</t>
  </si>
  <si>
    <t>$E$15=0</t>
  </si>
  <si>
    <t>$F$15=0</t>
  </si>
  <si>
    <t>$G$15=0</t>
  </si>
  <si>
    <t>$E$16=0</t>
  </si>
  <si>
    <t>$F$16=0</t>
  </si>
  <si>
    <t>$G$16=0</t>
  </si>
  <si>
    <t>$E$17=0</t>
  </si>
  <si>
    <t>$F$17=0</t>
  </si>
  <si>
    <t>$G$17=0</t>
  </si>
  <si>
    <t>$E$18=0</t>
  </si>
  <si>
    <t>$F$18=0</t>
  </si>
  <si>
    <t>$G$18=0</t>
  </si>
  <si>
    <t>The Fuel Buying Decision</t>
    <phoneticPr fontId="0" type="noConversion"/>
  </si>
  <si>
    <t>Variables</t>
    <phoneticPr fontId="0" type="noConversion"/>
  </si>
  <si>
    <t>Period</t>
    <phoneticPr fontId="0" type="noConversion"/>
  </si>
  <si>
    <t>Amount of fuel burned</t>
    <phoneticPr fontId="0" type="noConversion"/>
  </si>
  <si>
    <t>Stockpile</t>
    <phoneticPr fontId="0" type="noConversion"/>
  </si>
  <si>
    <t>Columbian</t>
    <phoneticPr fontId="0" type="noConversion"/>
  </si>
  <si>
    <t>Russian</t>
  </si>
  <si>
    <t>Scottish</t>
    <phoneticPr fontId="0" type="noConversion"/>
  </si>
  <si>
    <t>Wood chips</t>
    <phoneticPr fontId="0" type="noConversion"/>
  </si>
  <si>
    <t>Hours in each period</t>
    <phoneticPr fontId="0" type="noConversion"/>
  </si>
  <si>
    <t xml:space="preserve"> June- WD-Peak</t>
    <phoneticPr fontId="0" type="noConversion"/>
  </si>
  <si>
    <t>June</t>
    <phoneticPr fontId="0" type="noConversion"/>
  </si>
  <si>
    <t xml:space="preserve">  June-WD-Off-peak</t>
    <phoneticPr fontId="0" type="noConversion"/>
  </si>
  <si>
    <t xml:space="preserve">  June-WK-Peak</t>
    <phoneticPr fontId="0" type="noConversion"/>
  </si>
  <si>
    <t xml:space="preserve">   June-WK-Off-peak</t>
    <phoneticPr fontId="0" type="noConversion"/>
  </si>
  <si>
    <t xml:space="preserve">  July-WD-Peak</t>
    <phoneticPr fontId="0" type="noConversion"/>
  </si>
  <si>
    <t>July</t>
    <phoneticPr fontId="0" type="noConversion"/>
  </si>
  <si>
    <t xml:space="preserve">  July-WD-Off-peak</t>
    <phoneticPr fontId="0" type="noConversion"/>
  </si>
  <si>
    <t xml:space="preserve">  July-WK-Peak</t>
    <phoneticPr fontId="0" type="noConversion"/>
  </si>
  <si>
    <t xml:space="preserve">  July-WK-Off-peak</t>
    <phoneticPr fontId="0" type="noConversion"/>
  </si>
  <si>
    <t xml:space="preserve">  Aug-WD-Peak</t>
    <phoneticPr fontId="0" type="noConversion"/>
  </si>
  <si>
    <t>August</t>
    <phoneticPr fontId="0" type="noConversion"/>
  </si>
  <si>
    <t xml:space="preserve">  Aug-WD-Off-peak</t>
    <phoneticPr fontId="0" type="noConversion"/>
  </si>
  <si>
    <t xml:space="preserve">  Aug-WK-Peak</t>
    <phoneticPr fontId="0" type="noConversion"/>
  </si>
  <si>
    <t xml:space="preserve">  Aug-WK-Off-peak</t>
    <phoneticPr fontId="0" type="noConversion"/>
  </si>
  <si>
    <t xml:space="preserve">  Sept-WD-Peak</t>
    <phoneticPr fontId="0" type="noConversion"/>
  </si>
  <si>
    <t>September</t>
    <phoneticPr fontId="0" type="noConversion"/>
  </si>
  <si>
    <t xml:space="preserve">  Sept-WD-Off-peak</t>
    <phoneticPr fontId="0" type="noConversion"/>
  </si>
  <si>
    <t>Sept-WK-Peak</t>
    <phoneticPr fontId="0" type="noConversion"/>
  </si>
  <si>
    <t>Sept-WK-Off-peak</t>
    <phoneticPr fontId="0" type="noConversion"/>
  </si>
  <si>
    <t>Oct-WD-Peak</t>
    <phoneticPr fontId="0" type="noConversion"/>
  </si>
  <si>
    <t>October</t>
    <phoneticPr fontId="0" type="noConversion"/>
  </si>
  <si>
    <t>Oct-WD-Off-peak</t>
    <phoneticPr fontId="0" type="noConversion"/>
  </si>
  <si>
    <t>Oct-WK-Peak</t>
    <phoneticPr fontId="0" type="noConversion"/>
  </si>
  <si>
    <t>Oct-WK-Off-peak</t>
    <phoneticPr fontId="0" type="noConversion"/>
  </si>
  <si>
    <t>Total</t>
    <phoneticPr fontId="0" type="noConversion"/>
  </si>
  <si>
    <t>Unit</t>
  </si>
  <si>
    <t>June</t>
  </si>
  <si>
    <t>July</t>
  </si>
  <si>
    <t>August</t>
  </si>
  <si>
    <t>September</t>
  </si>
  <si>
    <t>October</t>
  </si>
  <si>
    <t>Weekday Peak</t>
  </si>
  <si>
    <t>£ per MWh</t>
  </si>
  <si>
    <t>Weekday Off-peak</t>
  </si>
  <si>
    <t xml:space="preserve">Yearly  cost for installation </t>
    <phoneticPr fontId="0" type="noConversion"/>
  </si>
  <si>
    <t>SO2 Profit</t>
    <phoneticPr fontId="0" type="noConversion"/>
  </si>
  <si>
    <t>Final Profit</t>
  </si>
  <si>
    <t>Weekend Peak</t>
  </si>
  <si>
    <t xml:space="preserve">Profit </t>
    <phoneticPr fontId="0" type="noConversion"/>
  </si>
  <si>
    <t>Scenario 1: SO2 : 30 euro/ton</t>
    <phoneticPr fontId="0" type="noConversion"/>
  </si>
  <si>
    <t>Weekend Off-peak</t>
  </si>
  <si>
    <t>Stock</t>
  </si>
  <si>
    <t>Col</t>
  </si>
  <si>
    <t>Rus</t>
  </si>
  <si>
    <t>Sco</t>
  </si>
  <si>
    <t>Wood Chips (Bio)</t>
  </si>
  <si>
    <t>Scenario 2: SO2 : 40 euro/ton</t>
    <phoneticPr fontId="0" type="noConversion"/>
  </si>
  <si>
    <t>June weekday peak</t>
  </si>
  <si>
    <t>Scenario 3: SO2 : 50 euro/ton</t>
    <phoneticPr fontId="0" type="noConversion"/>
  </si>
  <si>
    <t>June weekday off-peak</t>
  </si>
  <si>
    <t>June weekend peak</t>
  </si>
  <si>
    <t>June weekend off-peak</t>
  </si>
  <si>
    <t>July weekday peak</t>
  </si>
  <si>
    <t>July weekday off-peak</t>
  </si>
  <si>
    <t>July weekend peak</t>
  </si>
  <si>
    <t>July weekend off-peak</t>
  </si>
  <si>
    <t>August weekday peak</t>
  </si>
  <si>
    <t>August weekday off-peak</t>
  </si>
  <si>
    <t>August weekend peak</t>
  </si>
  <si>
    <t>August weekend off-peak</t>
  </si>
  <si>
    <t>September weekday peak</t>
  </si>
  <si>
    <t>September weekday off-peak</t>
  </si>
  <si>
    <t>September weekend peak</t>
  </si>
  <si>
    <t>September weekend off-peak</t>
  </si>
  <si>
    <t>October weekday peak</t>
  </si>
  <si>
    <t>October weekday off-peak</t>
  </si>
  <si>
    <t>October weekend peak</t>
  </si>
  <si>
    <t>October weekend off-peak</t>
  </si>
  <si>
    <t>Constraints</t>
    <phoneticPr fontId="0" type="noConversion"/>
  </si>
  <si>
    <t>Total(LHS)</t>
    <phoneticPr fontId="0" type="noConversion"/>
  </si>
  <si>
    <t>Available(RHS)</t>
    <phoneticPr fontId="0" type="noConversion"/>
  </si>
  <si>
    <t>meaning</t>
    <phoneticPr fontId="0" type="noConversion"/>
  </si>
  <si>
    <t>Biomass(Calorific value)</t>
    <phoneticPr fontId="0" type="noConversion"/>
  </si>
  <si>
    <t>&lt;=</t>
    <phoneticPr fontId="0" type="noConversion"/>
  </si>
  <si>
    <t>SO2</t>
    <phoneticPr fontId="0" type="noConversion"/>
  </si>
  <si>
    <t>Stock</t>
    <phoneticPr fontId="0" type="noConversion"/>
  </si>
  <si>
    <t>Non-negativity</t>
    <phoneticPr fontId="0" type="noConversion"/>
  </si>
  <si>
    <t xml:space="preserve">zero for certain period </t>
    <phoneticPr fontId="0" type="noConversion"/>
  </si>
  <si>
    <t>=</t>
    <phoneticPr fontId="0" type="noConversion"/>
  </si>
  <si>
    <t>1000*Hp(number of hours)</t>
    <phoneticPr fontId="0" type="noConversion"/>
  </si>
  <si>
    <t>minus electricity for FGD result</t>
    <phoneticPr fontId="0" type="noConversion"/>
  </si>
  <si>
    <t xml:space="preserve">percentage </t>
    <phoneticPr fontId="0" type="noConversion"/>
  </si>
  <si>
    <t>Period capacity</t>
    <phoneticPr fontId="0" type="noConversion"/>
  </si>
  <si>
    <t>Electricity in each month</t>
  </si>
  <si>
    <t>Profit per ton</t>
  </si>
  <si>
    <t>Hours in each period</t>
  </si>
  <si>
    <t>Qf  (GJ/t)</t>
  </si>
  <si>
    <t>Bio</t>
  </si>
  <si>
    <t>SO2 Rating</t>
  </si>
  <si>
    <t>Sf (%)</t>
  </si>
  <si>
    <t xml:space="preserve">t SO₂ / t fuel  </t>
  </si>
  <si>
    <t>FGD1</t>
  </si>
  <si>
    <t>Price (£/tonne)</t>
  </si>
  <si>
    <t>Calorific value (GJ/tonne)</t>
  </si>
  <si>
    <t>SO2 (%)</t>
  </si>
  <si>
    <t>Coal: Stockpile</t>
  </si>
  <si>
    <t>Coal: Columbian</t>
  </si>
  <si>
    <t>Coal: Russian</t>
  </si>
  <si>
    <t>Coal: Scottish</t>
  </si>
  <si>
    <t>Variables</t>
  </si>
  <si>
    <t>Amount of fuel burned</t>
  </si>
  <si>
    <t>Stockpile</t>
  </si>
  <si>
    <t>Columbian</t>
  </si>
  <si>
    <t>Scottish</t>
  </si>
  <si>
    <t xml:space="preserve"> June- WD-Peak</t>
  </si>
  <si>
    <t xml:space="preserve">  June-WD-Off-peak</t>
  </si>
  <si>
    <t xml:space="preserve">  June-WK-Peak</t>
  </si>
  <si>
    <t xml:space="preserve">   June-WK-Off-peak</t>
  </si>
  <si>
    <t xml:space="preserve">  July-WD-Peak</t>
  </si>
  <si>
    <t xml:space="preserve">  July-WD-Off-peak</t>
  </si>
  <si>
    <t xml:space="preserve">  July-WK-Peak</t>
  </si>
  <si>
    <t xml:space="preserve">  July-WK-Off-peak</t>
  </si>
  <si>
    <t xml:space="preserve">  Aug-WD-Peak</t>
  </si>
  <si>
    <t xml:space="preserve">  Aug-WD-Off-peak</t>
  </si>
  <si>
    <t xml:space="preserve">  Aug-WK-Peak</t>
  </si>
  <si>
    <t xml:space="preserve">  Aug-WK-Off-peak</t>
  </si>
  <si>
    <t xml:space="preserve">  Sept-WD-Peak</t>
  </si>
  <si>
    <t xml:space="preserve">  Sept-WD-Off-peak</t>
  </si>
  <si>
    <t>Sept-WK-Peak</t>
  </si>
  <si>
    <t>Sept-WK-Off-peak</t>
  </si>
  <si>
    <t>Oct-WD-Peak</t>
  </si>
  <si>
    <t>Oct-WD-Off-peak</t>
  </si>
  <si>
    <t>Oct-WK-Peak</t>
  </si>
  <si>
    <t>Oct-WK-Off-peak</t>
  </si>
  <si>
    <t>Total</t>
  </si>
  <si>
    <t xml:space="preserve">yearly  cost for installation </t>
    <phoneticPr fontId="0" type="noConversion"/>
  </si>
  <si>
    <t>final profit</t>
    <phoneticPr fontId="0" type="noConversion"/>
  </si>
  <si>
    <t>Electricity in each month</t>
    <phoneticPr fontId="0" type="noConversion"/>
  </si>
  <si>
    <t>Col</t>
    <phoneticPr fontId="0" type="noConversion"/>
  </si>
  <si>
    <t>Rus</t>
    <phoneticPr fontId="0" type="noConversion"/>
  </si>
  <si>
    <t>Sco</t>
    <phoneticPr fontId="0" type="noConversion"/>
  </si>
  <si>
    <t>Wood Chips (Bio)</t>
    <phoneticPr fontId="0" type="noConversion"/>
  </si>
  <si>
    <t>Profit per ton</t>
    <phoneticPr fontId="0" type="noConversion"/>
  </si>
  <si>
    <t>June weekday peak</t>
    <phoneticPr fontId="0" type="noConversion"/>
  </si>
  <si>
    <t>June weekday off-peak</t>
    <phoneticPr fontId="0" type="noConversion"/>
  </si>
  <si>
    <t>June weekend peak</t>
    <phoneticPr fontId="0" type="noConversion"/>
  </si>
  <si>
    <t>June weekend off-peak</t>
    <phoneticPr fontId="0" type="noConversion"/>
  </si>
  <si>
    <t>July weekday peak</t>
    <phoneticPr fontId="0" type="noConversion"/>
  </si>
  <si>
    <t>July weekday off-peak</t>
    <phoneticPr fontId="0" type="noConversion"/>
  </si>
  <si>
    <t>July weekend peak</t>
    <phoneticPr fontId="0" type="noConversion"/>
  </si>
  <si>
    <t>July weekend off-peak</t>
    <phoneticPr fontId="0" type="noConversion"/>
  </si>
  <si>
    <t>August weekday peak</t>
    <phoneticPr fontId="0" type="noConversion"/>
  </si>
  <si>
    <t>August weekday off-peak</t>
    <phoneticPr fontId="0" type="noConversion"/>
  </si>
  <si>
    <t>August weekend peak</t>
    <phoneticPr fontId="0" type="noConversion"/>
  </si>
  <si>
    <t>August weekend off-peak</t>
    <phoneticPr fontId="0" type="noConversion"/>
  </si>
  <si>
    <t>September weekday peak</t>
    <phoneticPr fontId="0" type="noConversion"/>
  </si>
  <si>
    <t>September weekday off-peak</t>
    <phoneticPr fontId="0" type="noConversion"/>
  </si>
  <si>
    <t>September weekend peak</t>
    <phoneticPr fontId="0" type="noConversion"/>
  </si>
  <si>
    <t>September weekend off-peak</t>
    <phoneticPr fontId="0" type="noConversion"/>
  </si>
  <si>
    <t>October weekday peak</t>
    <phoneticPr fontId="0" type="noConversion"/>
  </si>
  <si>
    <t>October weekday off-peak</t>
    <phoneticPr fontId="0" type="noConversion"/>
  </si>
  <si>
    <t>October weekend peak</t>
    <phoneticPr fontId="0" type="noConversion"/>
  </si>
  <si>
    <t>October weekend off-peak</t>
    <phoneticPr fontId="0" type="noConversion"/>
  </si>
  <si>
    <t>Qf  (GJ/t)</t>
    <phoneticPr fontId="0" type="noConversion"/>
  </si>
  <si>
    <t>SO2 Rating</t>
    <phoneticPr fontId="0" type="noConversion"/>
  </si>
  <si>
    <t>Sf (%)</t>
    <phoneticPr fontId="0" type="noConversion"/>
  </si>
  <si>
    <r>
      <t>t SO</t>
    </r>
    <r>
      <rPr>
        <b/>
        <sz val="11"/>
        <color theme="1"/>
        <rFont val="Cambria Math"/>
        <family val="1"/>
      </rPr>
      <t>₂</t>
    </r>
    <r>
      <rPr>
        <b/>
        <sz val="11"/>
        <color theme="1"/>
        <rFont val="Calibri"/>
        <family val="3"/>
        <charset val="134"/>
        <scheme val="minor"/>
      </rPr>
      <t xml:space="preserve"> / t fuel  </t>
    </r>
  </si>
  <si>
    <t>FGD2</t>
    <phoneticPr fontId="0" type="noConversion"/>
  </si>
  <si>
    <t>Price_per_tonne</t>
  </si>
  <si>
    <t>Calorific value</t>
  </si>
  <si>
    <t>Is_Renewable</t>
  </si>
  <si>
    <t>GJ per tonne_ of_ SO2</t>
  </si>
  <si>
    <t>MWh per tonne_of_SO2</t>
  </si>
  <si>
    <t>MWH per tonne_fuel</t>
  </si>
  <si>
    <t>Price per MWh</t>
  </si>
  <si>
    <t>CO2:price per Mwh</t>
  </si>
  <si>
    <t>Profit per MWh</t>
  </si>
  <si>
    <t>profit per SO2</t>
  </si>
  <si>
    <t>profit per tonne</t>
  </si>
  <si>
    <t>Band</t>
  </si>
  <si>
    <t>Price_per_MWh</t>
  </si>
  <si>
    <t>Key</t>
  </si>
  <si>
    <t>June|Weekday Peak</t>
  </si>
  <si>
    <t>June|Weekday Off-peak</t>
  </si>
  <si>
    <t>June|Weekend Peak</t>
  </si>
  <si>
    <t>June|Weekend Off-peak</t>
  </si>
  <si>
    <t>July|Weekday Peak</t>
  </si>
  <si>
    <t>July|Weekday Off-peak</t>
  </si>
  <si>
    <t>July|Weekend Peak</t>
  </si>
  <si>
    <t>July|Weekend Off-peak</t>
  </si>
  <si>
    <t>August|Weekday Peak</t>
  </si>
  <si>
    <t>August|Weekday Off-peak</t>
  </si>
  <si>
    <t>August|Weekend Peak</t>
  </si>
  <si>
    <t>August|Weekend Off-peak</t>
  </si>
  <si>
    <t>September|Weekday Peak</t>
  </si>
  <si>
    <t>September|Weekday Off-peak</t>
  </si>
  <si>
    <t>September|Weekend Peak</t>
  </si>
  <si>
    <t>September|Weekend Off-peak</t>
  </si>
  <si>
    <t>October|Weekday Peak</t>
  </si>
  <si>
    <t>October|Weekday Off-peak</t>
  </si>
  <si>
    <t>October|Weekend Peak</t>
  </si>
  <si>
    <t>October|Weekend Off-peak</t>
  </si>
  <si>
    <t>WE_Peak_Hours</t>
  </si>
  <si>
    <t>WE_Offpeak_Hours</t>
  </si>
  <si>
    <t>Total Hour</t>
  </si>
  <si>
    <t>Weekdays</t>
  </si>
  <si>
    <t>WeekendDays</t>
  </si>
  <si>
    <t>WD_Peak_Hours</t>
  </si>
  <si>
    <t>WD_Offpeak_Hours</t>
  </si>
  <si>
    <t>Decisions (enter Y_MWh and X_*_t)</t>
  </si>
  <si>
    <t>Y_MWh</t>
  </si>
  <si>
    <t>FGD</t>
  </si>
  <si>
    <t>Renewable_MWh</t>
  </si>
  <si>
    <t>Total_Profit</t>
  </si>
  <si>
    <t>Max</t>
  </si>
  <si>
    <t>profit per So2 tonne</t>
  </si>
  <si>
    <t>Total_SO2_tonnes</t>
  </si>
  <si>
    <t>&lt;=</t>
  </si>
  <si>
    <t>price</t>
  </si>
  <si>
    <t>Total_burn3</t>
  </si>
  <si>
    <t>=</t>
  </si>
  <si>
    <t>Total_stockpile</t>
  </si>
  <si>
    <t>Capacity_constraint</t>
  </si>
  <si>
    <t>GJ/tonne_ of_ SO2</t>
  </si>
  <si>
    <t>MWh/tonne_of_SO2</t>
  </si>
  <si>
    <t>MWH/tonne</t>
  </si>
  <si>
    <t>Price/MWh</t>
  </si>
  <si>
    <t>CO2:price/Mwh</t>
  </si>
  <si>
    <t>SO2/MWh</t>
  </si>
  <si>
    <t>Biomix_CV</t>
  </si>
  <si>
    <t>MWh</t>
  </si>
  <si>
    <t>CO2 cost</t>
  </si>
  <si>
    <t>Transmission cost</t>
  </si>
  <si>
    <t>Fuel Cosst</t>
  </si>
  <si>
    <t>SO2</t>
  </si>
  <si>
    <t>SO2 cost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</si>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</sst>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.6"/>
      <color theme="1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9.6"/>
      <color theme="1"/>
      <name val="Helvetica Neue"/>
      <family val="2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7" tint="0.59999389629810485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Noto Sans SC Black"/>
      <charset val="134"/>
    </font>
    <font>
      <sz val="12"/>
      <color theme="1"/>
      <name val="Noto Sans SC Black"/>
      <charset val="134"/>
    </font>
    <font>
      <b/>
      <sz val="14"/>
      <color theme="1"/>
      <name val="Noto Sans SC Black"/>
      <charset val="134"/>
    </font>
    <font>
      <sz val="11"/>
      <color rgb="FF000000"/>
      <name val="Calibri"/>
      <family val="2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Cambria Math"/>
      <family val="1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2" borderId="0" xfId="0" applyFill="1"/>
    <xf numFmtId="0" fontId="2" fillId="2" borderId="0" xfId="0" applyFont="1" applyFill="1"/>
    <xf numFmtId="0" fontId="0" fillId="0" borderId="0" xfId="0" quotePrefix="1"/>
    <xf numFmtId="0" fontId="6" fillId="0" borderId="0" xfId="0" applyFont="1"/>
    <xf numFmtId="0" fontId="0" fillId="0" borderId="1" xfId="0" applyBorder="1"/>
    <xf numFmtId="2" fontId="0" fillId="0" borderId="0" xfId="0" applyNumberFormat="1"/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7" xfId="0" applyBorder="1"/>
    <xf numFmtId="0" fontId="0" fillId="0" borderId="0" xfId="0" applyAlignment="1">
      <alignment horizontal="left"/>
    </xf>
    <xf numFmtId="10" fontId="0" fillId="0" borderId="0" xfId="2" applyNumberFormat="1" applyFont="1"/>
    <xf numFmtId="43" fontId="0" fillId="0" borderId="0" xfId="1" applyFont="1"/>
    <xf numFmtId="0" fontId="0" fillId="0" borderId="6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3" fontId="0" fillId="0" borderId="0" xfId="1" applyFont="1" applyBorder="1"/>
    <xf numFmtId="10" fontId="0" fillId="0" borderId="0" xfId="2" applyNumberFormat="1" applyFont="1" applyBorder="1"/>
    <xf numFmtId="2" fontId="0" fillId="0" borderId="9" xfId="0" applyNumberFormat="1" applyBorder="1"/>
    <xf numFmtId="0" fontId="9" fillId="3" borderId="10" xfId="0" applyFont="1" applyFill="1" applyBorder="1" applyAlignment="1">
      <alignment horizontal="center" vertical="top"/>
    </xf>
    <xf numFmtId="0" fontId="9" fillId="3" borderId="18" xfId="0" applyFont="1" applyFill="1" applyBorder="1" applyAlignment="1">
      <alignment horizontal="center" vertical="top"/>
    </xf>
    <xf numFmtId="0" fontId="0" fillId="2" borderId="9" xfId="0" applyFill="1" applyBorder="1"/>
    <xf numFmtId="0" fontId="0" fillId="2" borderId="14" xfId="0" applyFill="1" applyBorder="1"/>
    <xf numFmtId="0" fontId="0" fillId="2" borderId="6" xfId="0" applyFill="1" applyBorder="1"/>
    <xf numFmtId="0" fontId="0" fillId="2" borderId="16" xfId="0" applyFill="1" applyBorder="1"/>
    <xf numFmtId="0" fontId="9" fillId="3" borderId="19" xfId="0" applyFont="1" applyFill="1" applyBorder="1" applyAlignment="1">
      <alignment horizontal="center" vertical="top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1" fontId="0" fillId="2" borderId="0" xfId="0" applyNumberFormat="1" applyFill="1"/>
    <xf numFmtId="1" fontId="0" fillId="0" borderId="0" xfId="0" applyNumberFormat="1"/>
    <xf numFmtId="0" fontId="11" fillId="0" borderId="0" xfId="3"/>
    <xf numFmtId="0" fontId="6" fillId="0" borderId="4" xfId="0" applyFont="1" applyBorder="1"/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0" borderId="20" xfId="0" applyFont="1" applyBorder="1" applyAlignment="1">
      <alignment horizontal="center" vertical="top"/>
    </xf>
    <xf numFmtId="0" fontId="0" fillId="0" borderId="0" xfId="0" applyAlignment="1">
      <alignment wrapText="1"/>
    </xf>
    <xf numFmtId="164" fontId="9" fillId="3" borderId="10" xfId="0" applyNumberFormat="1" applyFont="1" applyFill="1" applyBorder="1" applyAlignment="1">
      <alignment horizontal="center" vertical="top"/>
    </xf>
    <xf numFmtId="0" fontId="13" fillId="0" borderId="0" xfId="0" applyFont="1"/>
    <xf numFmtId="3" fontId="0" fillId="0" borderId="0" xfId="0" applyNumberFormat="1"/>
    <xf numFmtId="0" fontId="14" fillId="0" borderId="0" xfId="0" applyFont="1"/>
    <xf numFmtId="0" fontId="15" fillId="0" borderId="1" xfId="0" applyFont="1" applyBorder="1"/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vertical="center" wrapText="1" indent="2"/>
    </xf>
    <xf numFmtId="0" fontId="6" fillId="0" borderId="8" xfId="0" applyFont="1" applyBorder="1" applyAlignment="1">
      <alignment horizontal="center" vertical="top"/>
    </xf>
    <xf numFmtId="0" fontId="0" fillId="0" borderId="0" xfId="0" applyAlignment="1">
      <alignment horizontal="left" vertical="center" wrapText="1" indent="2"/>
    </xf>
    <xf numFmtId="3" fontId="0" fillId="4" borderId="0" xfId="0" applyNumberFormat="1" applyFill="1"/>
    <xf numFmtId="0" fontId="18" fillId="4" borderId="10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vertical="center" wrapText="1"/>
    </xf>
    <xf numFmtId="0" fontId="9" fillId="3" borderId="2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2" borderId="23" xfId="0" applyFill="1" applyBorder="1"/>
    <xf numFmtId="0" fontId="0" fillId="2" borderId="24" xfId="0" applyFill="1" applyBorder="1"/>
    <xf numFmtId="0" fontId="1" fillId="0" borderId="6" xfId="0" applyFont="1" applyBorder="1" applyAlignment="1">
      <alignment horizontal="center" vertical="top"/>
    </xf>
    <xf numFmtId="0" fontId="0" fillId="0" borderId="25" xfId="0" applyBorder="1"/>
    <xf numFmtId="0" fontId="0" fillId="0" borderId="26" xfId="0" applyBorder="1"/>
    <xf numFmtId="0" fontId="6" fillId="0" borderId="6" xfId="0" applyFont="1" applyBorder="1" applyAlignment="1">
      <alignment horizontal="center" vertical="top"/>
    </xf>
    <xf numFmtId="0" fontId="15" fillId="0" borderId="6" xfId="0" applyFont="1" applyBorder="1"/>
    <xf numFmtId="0" fontId="6" fillId="0" borderId="6" xfId="0" applyFont="1" applyBorder="1"/>
    <xf numFmtId="2" fontId="0" fillId="0" borderId="6" xfId="0" applyNumberFormat="1" applyBorder="1"/>
    <xf numFmtId="0" fontId="6" fillId="0" borderId="6" xfId="0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4" fillId="0" borderId="6" xfId="0" applyFont="1" applyBorder="1"/>
    <xf numFmtId="0" fontId="1" fillId="0" borderId="1" xfId="0" applyFont="1" applyBorder="1" applyAlignment="1">
      <alignment horizontal="center" vertical="top"/>
    </xf>
    <xf numFmtId="0" fontId="0" fillId="0" borderId="24" xfId="0" applyBorder="1"/>
    <xf numFmtId="0" fontId="0" fillId="0" borderId="29" xfId="0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233264</xdr:colOff>
      <xdr:row>27</xdr:row>
      <xdr:rowOff>90715</xdr:rowOff>
    </xdr:from>
    <xdr:to>
      <xdr:col>10</xdr:col>
      <xdr:colOff>120594</xdr:colOff>
      <xdr:row>58</xdr:row>
      <xdr:rowOff>34634</xdr:rowOff>
    </xdr:to>
    <xdr:pic>
      <xdr:nvPicPr>
        <xdr:cNvPr id="2" name="图片 7">
          <a:extLst>
            <a:ext uri="{FF2B5EF4-FFF2-40B4-BE49-F238E27FC236}">
              <a16:creationId xmlns:a16="http://schemas.microsoft.com/office/drawing/2014/main" id="{4E777EC9-6CAF-4C25-8164-2FEAB9DF5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7507" y="5011058"/>
          <a:ext cx="7316830" cy="596371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5EEB-EF52-284D-B9E7-615960216729}">
  <dimension ref="A5:AH49"/>
  <sheetViews>
    <sheetView tabSelected="1" topLeftCell="A3" zoomScale="61" zoomScaleNormal="70" workbookViewId="0">
      <selection activeCell="P49" sqref="P49"/>
    </sheetView>
  </sheetViews>
  <sheetFormatPr defaultColWidth="8.85546875" defaultRowHeight="15"/>
  <cols>
    <col min="1" max="1" width="24.85546875" customWidth="1"/>
    <col min="2" max="2" width="10" customWidth="1"/>
    <col min="3" max="3" width="10.85546875" customWidth="1"/>
    <col min="4" max="4" width="12.140625" customWidth="1"/>
    <col min="5" max="5" width="14" customWidth="1"/>
    <col min="6" max="6" width="22.7109375" customWidth="1"/>
    <col min="7" max="7" width="20.42578125" customWidth="1"/>
    <col min="8" max="8" width="14.140625" customWidth="1"/>
    <col min="9" max="9" width="15.7109375" hidden="1" customWidth="1"/>
    <col min="10" max="10" width="14" customWidth="1"/>
    <col min="11" max="11" width="12.28515625" customWidth="1"/>
    <col min="12" max="12" width="8.42578125" customWidth="1"/>
    <col min="13" max="13" width="10.28515625" customWidth="1"/>
    <col min="14" max="14" width="11.42578125" customWidth="1"/>
    <col min="15" max="15" width="14" customWidth="1"/>
    <col min="16" max="16" width="12.7109375" customWidth="1"/>
    <col min="17" max="17" width="12.140625" customWidth="1"/>
    <col min="18" max="18" width="12.7109375" customWidth="1"/>
    <col min="19" max="19" width="15" hidden="1" customWidth="1"/>
    <col min="20" max="20" width="12.28515625" customWidth="1"/>
    <col min="21" max="21" width="13.7109375" hidden="1" customWidth="1"/>
    <col min="22" max="22" width="18.28515625" hidden="1" customWidth="1"/>
    <col min="23" max="24" width="2.42578125" hidden="1" customWidth="1"/>
    <col min="25" max="25" width="10.85546875" customWidth="1"/>
    <col min="29" max="29" width="15.85546875" customWidth="1"/>
  </cols>
  <sheetData>
    <row r="5" spans="1:25" ht="15.95" thickBot="1"/>
    <row r="6" spans="1:25" ht="48.95" thickBot="1">
      <c r="A6" s="38" t="s">
        <v>0</v>
      </c>
      <c r="B6" s="39" t="s">
        <v>1</v>
      </c>
      <c r="C6" s="39" t="s">
        <v>2</v>
      </c>
      <c r="D6" s="39" t="s">
        <v>3</v>
      </c>
      <c r="E6" s="39" t="s">
        <v>4</v>
      </c>
      <c r="F6" s="39" t="s">
        <v>5</v>
      </c>
      <c r="G6" s="39" t="s">
        <v>6</v>
      </c>
      <c r="H6" s="40" t="s">
        <v>7</v>
      </c>
      <c r="I6" s="70" t="s">
        <v>8</v>
      </c>
      <c r="J6" s="38" t="s">
        <v>9</v>
      </c>
      <c r="K6" s="44" t="s">
        <v>10</v>
      </c>
      <c r="L6" s="44" t="s">
        <v>11</v>
      </c>
      <c r="M6" s="39" t="s">
        <v>12</v>
      </c>
      <c r="N6" s="39" t="s">
        <v>13</v>
      </c>
      <c r="O6" s="39" t="s">
        <v>14</v>
      </c>
      <c r="P6" s="39" t="s">
        <v>15</v>
      </c>
      <c r="Q6" s="39" t="s">
        <v>16</v>
      </c>
      <c r="R6" s="39" t="s">
        <v>17</v>
      </c>
      <c r="S6" s="39" t="s">
        <v>18</v>
      </c>
      <c r="T6" s="40" t="s">
        <v>19</v>
      </c>
      <c r="U6" s="71" t="s">
        <v>20</v>
      </c>
      <c r="V6" s="72" t="s">
        <v>21</v>
      </c>
      <c r="W6" s="41" t="s">
        <v>22</v>
      </c>
      <c r="X6" s="42"/>
      <c r="Y6" s="43" t="s">
        <v>23</v>
      </c>
    </row>
    <row r="7" spans="1:25">
      <c r="A7" s="24" t="s">
        <v>24</v>
      </c>
      <c r="B7" s="17">
        <v>264</v>
      </c>
      <c r="C7" s="17">
        <f>B7*1000</f>
        <v>264000</v>
      </c>
      <c r="D7" s="33">
        <v>94687.551890186543</v>
      </c>
      <c r="E7" s="33">
        <v>0</v>
      </c>
      <c r="F7" s="33">
        <v>0</v>
      </c>
      <c r="G7" s="33">
        <v>0</v>
      </c>
      <c r="H7" s="34">
        <v>15085.714285714288</v>
      </c>
      <c r="I7">
        <f t="shared" ref="I7:I26" si="0">SUMPRODUCT(D7:H7, N$31:R$31)</f>
        <v>2715428.5714285718</v>
      </c>
      <c r="J7" s="17">
        <f t="shared" ref="J7:J26" si="1">(SUMPRODUCT(D7:H7, N$31:R$31)*0.35)/3.6</f>
        <v>264000</v>
      </c>
      <c r="K7" s="17">
        <f t="shared" ref="K7:K26" si="2">($R$31*H7*0.35)/3.6</f>
        <v>26400</v>
      </c>
      <c r="L7" s="30">
        <f>VLOOKUP(A7,F29:G49,2,FALSE)</f>
        <v>36</v>
      </c>
      <c r="M7" s="17">
        <f>L7*J7</f>
        <v>9504000</v>
      </c>
      <c r="N7" s="17">
        <f t="shared" ref="N7:N26" si="3">45*($R$31*H7*0.35)/3.6</f>
        <v>1188000</v>
      </c>
      <c r="O7" s="17">
        <f t="shared" ref="O7:O26" si="4">SUMPRODUCT(D7:H7, N$31:R$31)*0.35*0.65/3.6</f>
        <v>171600.00000000003</v>
      </c>
      <c r="P7" s="17">
        <f t="shared" ref="P7:P26" si="5">SUMPRODUCT(D7:H7, N$30:R$30)</f>
        <v>5142775.3513034824</v>
      </c>
      <c r="Q7" s="17">
        <f>J7*0.8*0.87*15</f>
        <v>2756160</v>
      </c>
      <c r="R7" s="17">
        <f>IFERROR(M7+N7-O7-P7-Q7,0)</f>
        <v>2621464.6486965176</v>
      </c>
      <c r="S7" s="17">
        <f t="shared" ref="S7:S26" si="6">H7*$R$31</f>
        <v>271542.85714285716</v>
      </c>
      <c r="T7" s="17">
        <f t="shared" ref="T7:T26" si="7">SUMPRODUCT(D7:H7, N$32:R$32)*0.01</f>
        <v>1308.1967875131456</v>
      </c>
      <c r="U7">
        <f>IFERROR(S7/I7,0)</f>
        <v>9.9999999999999992E-2</v>
      </c>
      <c r="V7">
        <f>0.1*I7</f>
        <v>271542.85714285722</v>
      </c>
      <c r="W7">
        <f t="shared" ref="W7:W27" si="8">SUMPRODUCT($N$31:$Q$31,D7:G7)</f>
        <v>2443885.7142857146</v>
      </c>
      <c r="Y7" s="16">
        <f>K7-0.1*J7</f>
        <v>0</v>
      </c>
    </row>
    <row r="8" spans="1:25">
      <c r="A8" s="26" t="s">
        <v>25</v>
      </c>
      <c r="B8" s="16">
        <v>264</v>
      </c>
      <c r="C8" s="17">
        <f t="shared" ref="C8:C26" si="9">B8*1000</f>
        <v>264000</v>
      </c>
      <c r="D8" s="35">
        <v>0</v>
      </c>
      <c r="E8" s="35">
        <v>0</v>
      </c>
      <c r="F8" s="35">
        <v>0</v>
      </c>
      <c r="G8" s="35">
        <v>0</v>
      </c>
      <c r="H8" s="36">
        <v>0</v>
      </c>
      <c r="I8">
        <f t="shared" si="0"/>
        <v>0</v>
      </c>
      <c r="J8" s="17">
        <f t="shared" si="1"/>
        <v>0</v>
      </c>
      <c r="K8" s="16">
        <f t="shared" si="2"/>
        <v>0</v>
      </c>
      <c r="L8" s="30">
        <f t="shared" ref="L8:L26" si="10">VLOOKUP(A8,F30:G51,2,FALSE)</f>
        <v>27</v>
      </c>
      <c r="M8" s="17">
        <f t="shared" ref="M8:M26" si="11">L8*J8</f>
        <v>0</v>
      </c>
      <c r="N8" s="16">
        <f t="shared" si="3"/>
        <v>0</v>
      </c>
      <c r="O8" s="16">
        <f t="shared" si="4"/>
        <v>0</v>
      </c>
      <c r="P8" s="16">
        <f t="shared" si="5"/>
        <v>0</v>
      </c>
      <c r="Q8" s="17">
        <f t="shared" ref="Q8:Q25" si="12">J8*0.8*0.87*15</f>
        <v>0</v>
      </c>
      <c r="R8" s="16">
        <f t="shared" ref="R8:R26" si="13">IFERROR(M8+N8-O8-P8-Q8,0)</f>
        <v>0</v>
      </c>
      <c r="S8" s="16">
        <f t="shared" si="6"/>
        <v>0</v>
      </c>
      <c r="T8" s="16">
        <f t="shared" si="7"/>
        <v>0</v>
      </c>
      <c r="U8">
        <f t="shared" ref="U8:U26" si="14">IFERROR(S8/I8,0)</f>
        <v>0</v>
      </c>
      <c r="V8">
        <f t="shared" ref="V8:V26" si="15">0.1*I8</f>
        <v>0</v>
      </c>
      <c r="W8">
        <f t="shared" si="8"/>
        <v>0</v>
      </c>
      <c r="Y8" s="16">
        <f t="shared" ref="Y8:Y26" si="16">K8-0.1*J8</f>
        <v>0</v>
      </c>
    </row>
    <row r="9" spans="1:25">
      <c r="A9" s="26" t="s">
        <v>26</v>
      </c>
      <c r="B9" s="16">
        <v>96</v>
      </c>
      <c r="C9" s="17">
        <f t="shared" si="9"/>
        <v>96000</v>
      </c>
      <c r="D9" s="35">
        <v>34431.83705097693</v>
      </c>
      <c r="E9" s="35">
        <v>0</v>
      </c>
      <c r="F9" s="35">
        <v>0</v>
      </c>
      <c r="G9" s="35">
        <v>0</v>
      </c>
      <c r="H9" s="36">
        <v>5485.7142857142871</v>
      </c>
      <c r="I9">
        <f t="shared" si="0"/>
        <v>987428.57142857171</v>
      </c>
      <c r="J9" s="17">
        <f t="shared" si="1"/>
        <v>96000.000000000015</v>
      </c>
      <c r="K9" s="16">
        <f t="shared" si="2"/>
        <v>9600.0000000000018</v>
      </c>
      <c r="L9" s="30">
        <f t="shared" si="10"/>
        <v>33.5</v>
      </c>
      <c r="M9" s="17">
        <f t="shared" si="11"/>
        <v>3216000.0000000005</v>
      </c>
      <c r="N9" s="16">
        <f t="shared" si="3"/>
        <v>432000.00000000006</v>
      </c>
      <c r="O9" s="16">
        <f t="shared" si="4"/>
        <v>62400.000000000015</v>
      </c>
      <c r="P9" s="16">
        <f t="shared" si="5"/>
        <v>1870100.1277467213</v>
      </c>
      <c r="Q9" s="17">
        <f t="shared" si="12"/>
        <v>1002240.0000000002</v>
      </c>
      <c r="R9" s="16">
        <f t="shared" si="13"/>
        <v>713259.87225327897</v>
      </c>
      <c r="S9" s="16">
        <f t="shared" si="6"/>
        <v>98742.857142857174</v>
      </c>
      <c r="T9" s="16">
        <f t="shared" si="7"/>
        <v>475.70792273205308</v>
      </c>
      <c r="U9">
        <f t="shared" si="14"/>
        <v>0.1</v>
      </c>
      <c r="V9">
        <f t="shared" si="15"/>
        <v>98742.857142857174</v>
      </c>
      <c r="W9">
        <f t="shared" si="8"/>
        <v>888685.71428571455</v>
      </c>
      <c r="Y9" s="16">
        <f t="shared" si="16"/>
        <v>0</v>
      </c>
    </row>
    <row r="10" spans="1:25">
      <c r="A10" s="26" t="s">
        <v>27</v>
      </c>
      <c r="B10" s="16">
        <v>96</v>
      </c>
      <c r="C10" s="17">
        <f t="shared" si="9"/>
        <v>96000</v>
      </c>
      <c r="D10" s="35">
        <v>0</v>
      </c>
      <c r="E10" s="35">
        <v>0</v>
      </c>
      <c r="F10" s="35">
        <v>0</v>
      </c>
      <c r="G10" s="35">
        <v>0</v>
      </c>
      <c r="H10" s="36">
        <v>0</v>
      </c>
      <c r="I10">
        <f t="shared" si="0"/>
        <v>0</v>
      </c>
      <c r="J10" s="17">
        <f t="shared" si="1"/>
        <v>0</v>
      </c>
      <c r="K10" s="16">
        <f t="shared" si="2"/>
        <v>0</v>
      </c>
      <c r="L10" s="30">
        <f t="shared" si="10"/>
        <v>26.2</v>
      </c>
      <c r="M10" s="17">
        <f t="shared" si="11"/>
        <v>0</v>
      </c>
      <c r="N10" s="16">
        <f t="shared" si="3"/>
        <v>0</v>
      </c>
      <c r="O10" s="16">
        <f t="shared" si="4"/>
        <v>0</v>
      </c>
      <c r="P10" s="16">
        <f t="shared" si="5"/>
        <v>0</v>
      </c>
      <c r="Q10" s="17">
        <f t="shared" si="12"/>
        <v>0</v>
      </c>
      <c r="R10" s="16">
        <f t="shared" si="13"/>
        <v>0</v>
      </c>
      <c r="S10" s="16">
        <f t="shared" si="6"/>
        <v>0</v>
      </c>
      <c r="T10" s="16">
        <f t="shared" si="7"/>
        <v>0</v>
      </c>
      <c r="U10">
        <f t="shared" si="14"/>
        <v>0</v>
      </c>
      <c r="V10">
        <f t="shared" si="15"/>
        <v>0</v>
      </c>
      <c r="W10">
        <f t="shared" si="8"/>
        <v>0</v>
      </c>
      <c r="Y10" s="16">
        <f t="shared" si="16"/>
        <v>0</v>
      </c>
    </row>
    <row r="11" spans="1:25">
      <c r="A11" s="26" t="s">
        <v>28</v>
      </c>
      <c r="B11" s="16">
        <v>264</v>
      </c>
      <c r="C11" s="17">
        <f t="shared" si="9"/>
        <v>264000</v>
      </c>
      <c r="D11" s="35">
        <v>94687.551890186543</v>
      </c>
      <c r="E11" s="35">
        <v>0</v>
      </c>
      <c r="F11" s="35">
        <v>0</v>
      </c>
      <c r="G11" s="35">
        <v>0</v>
      </c>
      <c r="H11" s="36">
        <v>15085.714285714288</v>
      </c>
      <c r="I11">
        <f t="shared" si="0"/>
        <v>2715428.5714285718</v>
      </c>
      <c r="J11" s="17">
        <f t="shared" si="1"/>
        <v>264000</v>
      </c>
      <c r="K11" s="16">
        <f t="shared" si="2"/>
        <v>26400</v>
      </c>
      <c r="L11" s="30">
        <f t="shared" si="10"/>
        <v>36.35</v>
      </c>
      <c r="M11" s="17">
        <f t="shared" si="11"/>
        <v>9596400</v>
      </c>
      <c r="N11" s="16">
        <f t="shared" si="3"/>
        <v>1188000</v>
      </c>
      <c r="O11" s="16">
        <f t="shared" si="4"/>
        <v>171600.00000000003</v>
      </c>
      <c r="P11" s="16">
        <f t="shared" si="5"/>
        <v>5142775.3513034824</v>
      </c>
      <c r="Q11" s="17">
        <f t="shared" si="12"/>
        <v>2756160</v>
      </c>
      <c r="R11" s="16">
        <f t="shared" si="13"/>
        <v>2713864.6486965176</v>
      </c>
      <c r="S11" s="16">
        <f t="shared" si="6"/>
        <v>271542.85714285716</v>
      </c>
      <c r="T11" s="16">
        <f t="shared" si="7"/>
        <v>1308.1967875131456</v>
      </c>
      <c r="U11">
        <f t="shared" si="14"/>
        <v>9.9999999999999992E-2</v>
      </c>
      <c r="V11">
        <f t="shared" si="15"/>
        <v>271542.85714285722</v>
      </c>
      <c r="W11">
        <f t="shared" si="8"/>
        <v>2443885.7142857146</v>
      </c>
      <c r="Y11" s="16">
        <f t="shared" si="16"/>
        <v>0</v>
      </c>
    </row>
    <row r="12" spans="1:25">
      <c r="A12" s="26" t="s">
        <v>29</v>
      </c>
      <c r="B12" s="16">
        <v>264</v>
      </c>
      <c r="C12" s="17">
        <f t="shared" si="9"/>
        <v>264000</v>
      </c>
      <c r="D12" s="35">
        <v>0</v>
      </c>
      <c r="E12" s="35">
        <v>0</v>
      </c>
      <c r="F12" s="35">
        <v>0</v>
      </c>
      <c r="G12" s="35">
        <v>0</v>
      </c>
      <c r="H12" s="36">
        <v>0</v>
      </c>
      <c r="I12">
        <f t="shared" si="0"/>
        <v>0</v>
      </c>
      <c r="J12" s="17">
        <f t="shared" si="1"/>
        <v>0</v>
      </c>
      <c r="K12" s="16">
        <f t="shared" si="2"/>
        <v>0</v>
      </c>
      <c r="L12" s="30">
        <f t="shared" si="10"/>
        <v>27</v>
      </c>
      <c r="M12" s="17">
        <f t="shared" si="11"/>
        <v>0</v>
      </c>
      <c r="N12" s="16">
        <f t="shared" si="3"/>
        <v>0</v>
      </c>
      <c r="O12" s="16">
        <f t="shared" si="4"/>
        <v>0</v>
      </c>
      <c r="P12" s="16">
        <f t="shared" si="5"/>
        <v>0</v>
      </c>
      <c r="Q12" s="17">
        <f t="shared" si="12"/>
        <v>0</v>
      </c>
      <c r="R12" s="16">
        <f t="shared" si="13"/>
        <v>0</v>
      </c>
      <c r="S12" s="16">
        <f t="shared" si="6"/>
        <v>0</v>
      </c>
      <c r="T12" s="16">
        <f t="shared" si="7"/>
        <v>0</v>
      </c>
      <c r="U12">
        <f t="shared" si="14"/>
        <v>0</v>
      </c>
      <c r="V12">
        <f t="shared" si="15"/>
        <v>0</v>
      </c>
      <c r="W12">
        <f t="shared" si="8"/>
        <v>0</v>
      </c>
      <c r="Y12" s="16">
        <f t="shared" si="16"/>
        <v>0</v>
      </c>
    </row>
    <row r="13" spans="1:25">
      <c r="A13" s="26" t="s">
        <v>30</v>
      </c>
      <c r="B13" s="16">
        <v>108</v>
      </c>
      <c r="C13" s="17">
        <f t="shared" si="9"/>
        <v>108000</v>
      </c>
      <c r="D13" s="35">
        <v>38735.816682349046</v>
      </c>
      <c r="E13" s="35">
        <v>0</v>
      </c>
      <c r="F13" s="35">
        <v>0</v>
      </c>
      <c r="G13" s="35">
        <v>0</v>
      </c>
      <c r="H13" s="36">
        <v>6171.4285714285734</v>
      </c>
      <c r="I13">
        <f t="shared" si="0"/>
        <v>1110857.1428571432</v>
      </c>
      <c r="J13" s="17">
        <f t="shared" si="1"/>
        <v>108000.00000000003</v>
      </c>
      <c r="K13" s="16">
        <f t="shared" si="2"/>
        <v>10800.000000000002</v>
      </c>
      <c r="L13" s="30">
        <f t="shared" si="10"/>
        <v>34.299999999999997</v>
      </c>
      <c r="M13" s="17">
        <f t="shared" si="11"/>
        <v>3704400.0000000005</v>
      </c>
      <c r="N13" s="16">
        <f t="shared" si="3"/>
        <v>486000.00000000006</v>
      </c>
      <c r="O13" s="16">
        <f t="shared" si="4"/>
        <v>70200.000000000029</v>
      </c>
      <c r="P13" s="16">
        <f t="shared" si="5"/>
        <v>2103862.6437150612</v>
      </c>
      <c r="Q13" s="17">
        <f t="shared" si="12"/>
        <v>1127520.0000000005</v>
      </c>
      <c r="R13" s="16">
        <f t="shared" si="13"/>
        <v>888817.35628493875</v>
      </c>
      <c r="S13" s="16">
        <f t="shared" si="6"/>
        <v>111085.71428571432</v>
      </c>
      <c r="T13" s="16">
        <f t="shared" si="7"/>
        <v>535.17141307355962</v>
      </c>
      <c r="U13">
        <f t="shared" si="14"/>
        <v>0.1</v>
      </c>
      <c r="V13">
        <f t="shared" si="15"/>
        <v>111085.71428571432</v>
      </c>
      <c r="W13">
        <f t="shared" si="8"/>
        <v>999771.42857142887</v>
      </c>
      <c r="Y13" s="16">
        <f t="shared" si="16"/>
        <v>0</v>
      </c>
    </row>
    <row r="14" spans="1:25">
      <c r="A14" s="26" t="s">
        <v>31</v>
      </c>
      <c r="B14" s="16">
        <v>108</v>
      </c>
      <c r="C14" s="17">
        <f t="shared" si="9"/>
        <v>108000</v>
      </c>
      <c r="D14" s="35">
        <v>0</v>
      </c>
      <c r="E14" s="35">
        <v>0</v>
      </c>
      <c r="F14" s="35">
        <v>0</v>
      </c>
      <c r="G14" s="35">
        <v>0</v>
      </c>
      <c r="H14" s="36">
        <v>0</v>
      </c>
      <c r="I14">
        <f t="shared" si="0"/>
        <v>0</v>
      </c>
      <c r="J14" s="17">
        <f t="shared" si="1"/>
        <v>0</v>
      </c>
      <c r="K14" s="16">
        <f t="shared" si="2"/>
        <v>0</v>
      </c>
      <c r="L14" s="30">
        <f t="shared" si="10"/>
        <v>26.3</v>
      </c>
      <c r="M14" s="17">
        <f t="shared" si="11"/>
        <v>0</v>
      </c>
      <c r="N14" s="16">
        <f t="shared" si="3"/>
        <v>0</v>
      </c>
      <c r="O14" s="16">
        <f t="shared" si="4"/>
        <v>0</v>
      </c>
      <c r="P14" s="16">
        <f t="shared" si="5"/>
        <v>0</v>
      </c>
      <c r="Q14" s="17">
        <f t="shared" si="12"/>
        <v>0</v>
      </c>
      <c r="R14" s="16">
        <f t="shared" si="13"/>
        <v>0</v>
      </c>
      <c r="S14" s="16">
        <f t="shared" si="6"/>
        <v>0</v>
      </c>
      <c r="T14" s="16">
        <f t="shared" si="7"/>
        <v>0</v>
      </c>
      <c r="U14">
        <f t="shared" si="14"/>
        <v>0</v>
      </c>
      <c r="V14">
        <f t="shared" si="15"/>
        <v>0</v>
      </c>
      <c r="W14">
        <f t="shared" si="8"/>
        <v>0</v>
      </c>
      <c r="Y14" s="16">
        <f t="shared" si="16"/>
        <v>0</v>
      </c>
    </row>
    <row r="15" spans="1:25">
      <c r="A15" s="26" t="s">
        <v>32</v>
      </c>
      <c r="B15" s="16">
        <v>264</v>
      </c>
      <c r="C15" s="17">
        <f t="shared" si="9"/>
        <v>264000</v>
      </c>
      <c r="D15" s="35">
        <v>94687.551890186543</v>
      </c>
      <c r="E15" s="35">
        <v>0</v>
      </c>
      <c r="F15" s="35">
        <v>0</v>
      </c>
      <c r="G15" s="35">
        <v>0</v>
      </c>
      <c r="H15" s="36">
        <v>15085.714285714288</v>
      </c>
      <c r="I15">
        <f t="shared" si="0"/>
        <v>2715428.5714285718</v>
      </c>
      <c r="J15" s="17">
        <f t="shared" si="1"/>
        <v>264000</v>
      </c>
      <c r="K15" s="16">
        <f t="shared" si="2"/>
        <v>26400</v>
      </c>
      <c r="L15" s="30">
        <f t="shared" si="10"/>
        <v>37.65</v>
      </c>
      <c r="M15" s="17">
        <f t="shared" si="11"/>
        <v>9939600</v>
      </c>
      <c r="N15" s="16">
        <f t="shared" si="3"/>
        <v>1188000</v>
      </c>
      <c r="O15" s="16">
        <f t="shared" si="4"/>
        <v>171600.00000000003</v>
      </c>
      <c r="P15" s="16">
        <f t="shared" si="5"/>
        <v>5142775.3513034824</v>
      </c>
      <c r="Q15" s="17">
        <f t="shared" si="12"/>
        <v>2756160</v>
      </c>
      <c r="R15" s="16">
        <f t="shared" si="13"/>
        <v>3057064.6486965176</v>
      </c>
      <c r="S15" s="16">
        <f t="shared" si="6"/>
        <v>271542.85714285716</v>
      </c>
      <c r="T15" s="16">
        <f t="shared" si="7"/>
        <v>1308.1967875131456</v>
      </c>
      <c r="U15">
        <f t="shared" si="14"/>
        <v>9.9999999999999992E-2</v>
      </c>
      <c r="V15">
        <f t="shared" si="15"/>
        <v>271542.85714285722</v>
      </c>
      <c r="W15">
        <f t="shared" si="8"/>
        <v>2443885.7142857146</v>
      </c>
      <c r="Y15" s="16">
        <f t="shared" si="16"/>
        <v>0</v>
      </c>
    </row>
    <row r="16" spans="1:25">
      <c r="A16" s="26" t="s">
        <v>33</v>
      </c>
      <c r="B16" s="16">
        <v>264</v>
      </c>
      <c r="C16" s="17">
        <f t="shared" si="9"/>
        <v>264000</v>
      </c>
      <c r="D16" s="35">
        <v>94687.551890186558</v>
      </c>
      <c r="E16" s="35">
        <v>0</v>
      </c>
      <c r="F16" s="35">
        <v>0</v>
      </c>
      <c r="G16" s="35">
        <v>0</v>
      </c>
      <c r="H16" s="36">
        <v>15085.71428571429</v>
      </c>
      <c r="I16">
        <f t="shared" si="0"/>
        <v>2715428.5714285723</v>
      </c>
      <c r="J16" s="17">
        <f t="shared" si="1"/>
        <v>264000.00000000006</v>
      </c>
      <c r="K16" s="16">
        <f t="shared" si="2"/>
        <v>26400.000000000004</v>
      </c>
      <c r="L16" s="30">
        <f t="shared" si="10"/>
        <v>28.2</v>
      </c>
      <c r="M16" s="17">
        <f t="shared" si="11"/>
        <v>7444800.0000000019</v>
      </c>
      <c r="N16" s="16">
        <f t="shared" si="3"/>
        <v>1188000.0000000002</v>
      </c>
      <c r="O16" s="16">
        <f t="shared" si="4"/>
        <v>171600.00000000003</v>
      </c>
      <c r="P16" s="16">
        <f t="shared" si="5"/>
        <v>5142775.3513034834</v>
      </c>
      <c r="Q16" s="17">
        <f t="shared" si="12"/>
        <v>2756160.0000000009</v>
      </c>
      <c r="R16" s="16">
        <f t="shared" si="13"/>
        <v>562264.64869651757</v>
      </c>
      <c r="S16" s="16">
        <f t="shared" si="6"/>
        <v>271542.85714285722</v>
      </c>
      <c r="T16" s="16">
        <f t="shared" si="7"/>
        <v>1308.1967875131459</v>
      </c>
      <c r="U16">
        <f t="shared" si="14"/>
        <v>9.9999999999999992E-2</v>
      </c>
      <c r="V16">
        <f t="shared" si="15"/>
        <v>271542.85714285722</v>
      </c>
      <c r="W16">
        <f t="shared" si="8"/>
        <v>2443885.714285715</v>
      </c>
      <c r="Y16" s="16">
        <f t="shared" si="16"/>
        <v>0</v>
      </c>
    </row>
    <row r="17" spans="1:25">
      <c r="A17" s="26" t="s">
        <v>34</v>
      </c>
      <c r="B17" s="16">
        <v>108</v>
      </c>
      <c r="C17" s="17">
        <f t="shared" si="9"/>
        <v>108000</v>
      </c>
      <c r="D17" s="35">
        <v>38735.816682349046</v>
      </c>
      <c r="E17" s="35">
        <v>0</v>
      </c>
      <c r="F17" s="35">
        <v>0</v>
      </c>
      <c r="G17" s="35">
        <v>0</v>
      </c>
      <c r="H17" s="36">
        <v>6171.4285714285734</v>
      </c>
      <c r="I17">
        <f t="shared" si="0"/>
        <v>1110857.1428571432</v>
      </c>
      <c r="J17" s="17">
        <f t="shared" si="1"/>
        <v>108000.00000000003</v>
      </c>
      <c r="K17" s="16">
        <f t="shared" si="2"/>
        <v>10800.000000000002</v>
      </c>
      <c r="L17" s="30">
        <f t="shared" si="10"/>
        <v>35.65</v>
      </c>
      <c r="M17" s="17">
        <f t="shared" si="11"/>
        <v>3850200.0000000009</v>
      </c>
      <c r="N17" s="16">
        <f t="shared" si="3"/>
        <v>486000.00000000006</v>
      </c>
      <c r="O17" s="16">
        <f t="shared" si="4"/>
        <v>70200.000000000029</v>
      </c>
      <c r="P17" s="16">
        <f t="shared" si="5"/>
        <v>2103862.6437150612</v>
      </c>
      <c r="Q17" s="17">
        <f t="shared" si="12"/>
        <v>1127520.0000000005</v>
      </c>
      <c r="R17" s="16">
        <f t="shared" si="13"/>
        <v>1034617.3562849392</v>
      </c>
      <c r="S17" s="16">
        <f t="shared" si="6"/>
        <v>111085.71428571432</v>
      </c>
      <c r="T17" s="16">
        <f t="shared" si="7"/>
        <v>535.17141307355962</v>
      </c>
      <c r="U17">
        <f t="shared" si="14"/>
        <v>0.1</v>
      </c>
      <c r="V17">
        <f t="shared" si="15"/>
        <v>111085.71428571432</v>
      </c>
      <c r="W17">
        <f t="shared" si="8"/>
        <v>999771.42857142887</v>
      </c>
      <c r="Y17" s="16">
        <f t="shared" si="16"/>
        <v>0</v>
      </c>
    </row>
    <row r="18" spans="1:25">
      <c r="A18" s="26" t="s">
        <v>35</v>
      </c>
      <c r="B18" s="16">
        <v>108</v>
      </c>
      <c r="C18" s="17">
        <f t="shared" si="9"/>
        <v>108000</v>
      </c>
      <c r="D18" s="35">
        <v>0</v>
      </c>
      <c r="E18" s="35">
        <v>0</v>
      </c>
      <c r="F18" s="35">
        <v>0</v>
      </c>
      <c r="G18" s="35">
        <v>0</v>
      </c>
      <c r="H18" s="36">
        <v>0</v>
      </c>
      <c r="I18">
        <f t="shared" si="0"/>
        <v>0</v>
      </c>
      <c r="J18" s="17">
        <f t="shared" si="1"/>
        <v>0</v>
      </c>
      <c r="K18" s="16">
        <f t="shared" si="2"/>
        <v>0</v>
      </c>
      <c r="L18" s="30">
        <f t="shared" si="10"/>
        <v>27.5</v>
      </c>
      <c r="M18" s="17">
        <f t="shared" si="11"/>
        <v>0</v>
      </c>
      <c r="N18" s="16">
        <f t="shared" si="3"/>
        <v>0</v>
      </c>
      <c r="O18" s="16">
        <f t="shared" si="4"/>
        <v>0</v>
      </c>
      <c r="P18" s="16">
        <f t="shared" si="5"/>
        <v>0</v>
      </c>
      <c r="Q18" s="17">
        <f t="shared" si="12"/>
        <v>0</v>
      </c>
      <c r="R18" s="16">
        <f t="shared" si="13"/>
        <v>0</v>
      </c>
      <c r="S18" s="16">
        <f t="shared" si="6"/>
        <v>0</v>
      </c>
      <c r="T18" s="16">
        <f t="shared" si="7"/>
        <v>0</v>
      </c>
      <c r="U18">
        <f t="shared" si="14"/>
        <v>0</v>
      </c>
      <c r="V18">
        <f t="shared" si="15"/>
        <v>0</v>
      </c>
      <c r="W18">
        <f t="shared" si="8"/>
        <v>0</v>
      </c>
      <c r="Y18" s="16">
        <f t="shared" si="16"/>
        <v>0</v>
      </c>
    </row>
    <row r="19" spans="1:25">
      <c r="A19" s="26" t="s">
        <v>36</v>
      </c>
      <c r="B19" s="16">
        <v>264</v>
      </c>
      <c r="C19" s="17">
        <f t="shared" si="9"/>
        <v>264000</v>
      </c>
      <c r="D19" s="35">
        <v>0</v>
      </c>
      <c r="E19" s="35">
        <v>0</v>
      </c>
      <c r="F19" s="35">
        <v>67627.44502723933</v>
      </c>
      <c r="G19" s="35">
        <v>30038.675996883587</v>
      </c>
      <c r="H19" s="36">
        <v>15085.71428571429</v>
      </c>
      <c r="I19">
        <f t="shared" si="0"/>
        <v>2715428.5714285709</v>
      </c>
      <c r="J19" s="17">
        <f t="shared" si="1"/>
        <v>263999.99999999994</v>
      </c>
      <c r="K19" s="16">
        <f t="shared" si="2"/>
        <v>26400.000000000004</v>
      </c>
      <c r="L19" s="30">
        <f t="shared" si="10"/>
        <v>38.35</v>
      </c>
      <c r="M19" s="17">
        <f t="shared" si="11"/>
        <v>10124399.999999998</v>
      </c>
      <c r="N19" s="16">
        <f t="shared" si="3"/>
        <v>1188000.0000000002</v>
      </c>
      <c r="O19" s="16">
        <f t="shared" si="4"/>
        <v>171599.99999999997</v>
      </c>
      <c r="P19" s="16">
        <f t="shared" si="5"/>
        <v>5336579.6269193366</v>
      </c>
      <c r="Q19" s="17">
        <f t="shared" si="12"/>
        <v>2756159.9999999995</v>
      </c>
      <c r="R19" s="16">
        <f t="shared" si="13"/>
        <v>3048060.373080662</v>
      </c>
      <c r="S19" s="16">
        <f t="shared" si="6"/>
        <v>271542.85714285722</v>
      </c>
      <c r="T19" s="16">
        <f t="shared" si="7"/>
        <v>754.86985617030678</v>
      </c>
      <c r="U19">
        <f t="shared" si="14"/>
        <v>0.10000000000000005</v>
      </c>
      <c r="V19">
        <f t="shared" si="15"/>
        <v>271542.8571428571</v>
      </c>
      <c r="W19">
        <f t="shared" si="8"/>
        <v>2443885.7142857136</v>
      </c>
      <c r="Y19" s="16">
        <f t="shared" si="16"/>
        <v>0</v>
      </c>
    </row>
    <row r="20" spans="1:25">
      <c r="A20" s="26" t="s">
        <v>37</v>
      </c>
      <c r="B20" s="16">
        <v>264</v>
      </c>
      <c r="C20" s="17">
        <f t="shared" si="9"/>
        <v>264000</v>
      </c>
      <c r="D20" s="35">
        <v>0</v>
      </c>
      <c r="E20" s="35">
        <v>0</v>
      </c>
      <c r="F20" s="35">
        <v>99750.437317784235</v>
      </c>
      <c r="G20" s="35">
        <v>0</v>
      </c>
      <c r="H20" s="36">
        <v>15085.714285714288</v>
      </c>
      <c r="I20">
        <f t="shared" si="0"/>
        <v>2715428.5714285709</v>
      </c>
      <c r="J20" s="17">
        <f t="shared" si="1"/>
        <v>263999.99999999994</v>
      </c>
      <c r="K20" s="16">
        <f t="shared" si="2"/>
        <v>26400</v>
      </c>
      <c r="L20" s="30">
        <f t="shared" si="10"/>
        <v>28.5</v>
      </c>
      <c r="M20" s="17">
        <f t="shared" si="11"/>
        <v>7523999.9999999981</v>
      </c>
      <c r="N20" s="16">
        <f t="shared" si="3"/>
        <v>1188000</v>
      </c>
      <c r="O20" s="16">
        <f t="shared" si="4"/>
        <v>171599.99999999997</v>
      </c>
      <c r="P20" s="16">
        <f t="shared" si="5"/>
        <v>5481942.2973760916</v>
      </c>
      <c r="Q20" s="17">
        <f t="shared" si="12"/>
        <v>2756159.9999999995</v>
      </c>
      <c r="R20" s="16">
        <f t="shared" si="13"/>
        <v>302297.70262390701</v>
      </c>
      <c r="S20" s="16">
        <f t="shared" si="6"/>
        <v>271542.85714285716</v>
      </c>
      <c r="T20" s="16">
        <f t="shared" si="7"/>
        <v>350.63510204081626</v>
      </c>
      <c r="U20">
        <f t="shared" si="14"/>
        <v>0.10000000000000002</v>
      </c>
      <c r="V20">
        <f t="shared" si="15"/>
        <v>271542.8571428571</v>
      </c>
      <c r="W20">
        <f t="shared" si="8"/>
        <v>2443885.7142857136</v>
      </c>
      <c r="Y20" s="16">
        <f t="shared" si="16"/>
        <v>0</v>
      </c>
    </row>
    <row r="21" spans="1:25">
      <c r="A21" s="26" t="s">
        <v>38</v>
      </c>
      <c r="B21" s="16">
        <v>96</v>
      </c>
      <c r="C21" s="17">
        <f t="shared" si="9"/>
        <v>96000</v>
      </c>
      <c r="D21" s="35">
        <v>0</v>
      </c>
      <c r="E21" s="35">
        <v>0</v>
      </c>
      <c r="F21" s="35">
        <v>36272.886297376084</v>
      </c>
      <c r="G21" s="35">
        <v>0</v>
      </c>
      <c r="H21" s="36">
        <v>5485.7142857142871</v>
      </c>
      <c r="I21">
        <f t="shared" si="0"/>
        <v>987428.57142857125</v>
      </c>
      <c r="J21" s="17">
        <f t="shared" si="1"/>
        <v>95999.999999999985</v>
      </c>
      <c r="K21" s="16">
        <f t="shared" si="2"/>
        <v>9600.0000000000018</v>
      </c>
      <c r="L21" s="30">
        <f t="shared" si="10"/>
        <v>35.799999999999997</v>
      </c>
      <c r="M21" s="17">
        <f t="shared" si="11"/>
        <v>3436799.9999999991</v>
      </c>
      <c r="N21" s="16">
        <f t="shared" si="3"/>
        <v>432000.00000000006</v>
      </c>
      <c r="O21" s="16">
        <f t="shared" si="4"/>
        <v>62399.999999999993</v>
      </c>
      <c r="P21" s="16">
        <f t="shared" si="5"/>
        <v>1993433.5626822154</v>
      </c>
      <c r="Q21" s="17">
        <f t="shared" si="12"/>
        <v>1002239.9999999998</v>
      </c>
      <c r="R21" s="16">
        <f t="shared" si="13"/>
        <v>810726.43731778394</v>
      </c>
      <c r="S21" s="16">
        <f t="shared" si="6"/>
        <v>98742.857142857174</v>
      </c>
      <c r="T21" s="16">
        <f t="shared" si="7"/>
        <v>127.50367346938772</v>
      </c>
      <c r="U21">
        <f t="shared" si="14"/>
        <v>0.10000000000000005</v>
      </c>
      <c r="V21">
        <f t="shared" si="15"/>
        <v>98742.85714285713</v>
      </c>
      <c r="W21">
        <f t="shared" si="8"/>
        <v>888685.71428571409</v>
      </c>
      <c r="Y21" s="16">
        <f t="shared" si="16"/>
        <v>0</v>
      </c>
    </row>
    <row r="22" spans="1:25">
      <c r="A22" s="26" t="s">
        <v>39</v>
      </c>
      <c r="B22" s="16">
        <v>96</v>
      </c>
      <c r="C22" s="17">
        <f t="shared" si="9"/>
        <v>96000</v>
      </c>
      <c r="D22" s="35">
        <v>0</v>
      </c>
      <c r="E22" s="35">
        <v>0</v>
      </c>
      <c r="F22" s="35">
        <v>0</v>
      </c>
      <c r="G22" s="35">
        <v>0</v>
      </c>
      <c r="H22" s="36">
        <v>0</v>
      </c>
      <c r="I22">
        <f t="shared" si="0"/>
        <v>0</v>
      </c>
      <c r="J22" s="17">
        <f t="shared" si="1"/>
        <v>0</v>
      </c>
      <c r="K22" s="16">
        <f t="shared" si="2"/>
        <v>0</v>
      </c>
      <c r="L22" s="30">
        <f t="shared" si="10"/>
        <v>27.65</v>
      </c>
      <c r="M22" s="17">
        <f t="shared" si="11"/>
        <v>0</v>
      </c>
      <c r="N22" s="16">
        <f t="shared" si="3"/>
        <v>0</v>
      </c>
      <c r="O22" s="16">
        <f t="shared" si="4"/>
        <v>0</v>
      </c>
      <c r="P22" s="16">
        <f t="shared" si="5"/>
        <v>0</v>
      </c>
      <c r="Q22" s="17">
        <f t="shared" si="12"/>
        <v>0</v>
      </c>
      <c r="R22" s="16">
        <f t="shared" si="13"/>
        <v>0</v>
      </c>
      <c r="S22" s="16">
        <f t="shared" si="6"/>
        <v>0</v>
      </c>
      <c r="T22" s="16">
        <f t="shared" si="7"/>
        <v>0</v>
      </c>
      <c r="U22">
        <f t="shared" si="14"/>
        <v>0</v>
      </c>
      <c r="V22">
        <f t="shared" si="15"/>
        <v>0</v>
      </c>
      <c r="W22">
        <f t="shared" si="8"/>
        <v>0</v>
      </c>
      <c r="Y22" s="16">
        <f t="shared" si="16"/>
        <v>0</v>
      </c>
    </row>
    <row r="23" spans="1:25">
      <c r="A23" s="26" t="s">
        <v>40</v>
      </c>
      <c r="B23" s="16">
        <v>252</v>
      </c>
      <c r="C23" s="17">
        <f t="shared" si="9"/>
        <v>252000</v>
      </c>
      <c r="D23" s="35">
        <v>0</v>
      </c>
      <c r="E23" s="35">
        <v>0</v>
      </c>
      <c r="F23" s="35">
        <v>95216.326530612219</v>
      </c>
      <c r="G23" s="35">
        <v>0</v>
      </c>
      <c r="H23" s="36">
        <v>14400.000000000004</v>
      </c>
      <c r="I23">
        <f t="shared" si="0"/>
        <v>2591999.9999999995</v>
      </c>
      <c r="J23" s="17">
        <f t="shared" si="1"/>
        <v>251999.99999999994</v>
      </c>
      <c r="K23" s="16">
        <f t="shared" si="2"/>
        <v>25200.000000000004</v>
      </c>
      <c r="L23" s="30">
        <f t="shared" si="10"/>
        <v>43.7</v>
      </c>
      <c r="M23" s="17">
        <f t="shared" si="11"/>
        <v>11012399.999999998</v>
      </c>
      <c r="N23" s="16">
        <f t="shared" si="3"/>
        <v>1134000</v>
      </c>
      <c r="O23" s="16">
        <f t="shared" si="4"/>
        <v>163799.99999999997</v>
      </c>
      <c r="P23" s="16">
        <f t="shared" si="5"/>
        <v>5232763.1020408152</v>
      </c>
      <c r="Q23" s="17">
        <f t="shared" si="12"/>
        <v>2630879.9999999995</v>
      </c>
      <c r="R23" s="16">
        <f t="shared" si="13"/>
        <v>4118956.8979591834</v>
      </c>
      <c r="S23" s="16">
        <f t="shared" si="6"/>
        <v>259200.00000000006</v>
      </c>
      <c r="T23" s="16">
        <f t="shared" si="7"/>
        <v>334.69714285714275</v>
      </c>
      <c r="U23">
        <f t="shared" si="14"/>
        <v>0.10000000000000005</v>
      </c>
      <c r="V23">
        <f t="shared" si="15"/>
        <v>259199.99999999997</v>
      </c>
      <c r="W23">
        <f t="shared" si="8"/>
        <v>2332799.9999999995</v>
      </c>
      <c r="Y23" s="16">
        <f t="shared" si="16"/>
        <v>0</v>
      </c>
    </row>
    <row r="24" spans="1:25">
      <c r="A24" s="26" t="s">
        <v>41</v>
      </c>
      <c r="B24" s="16">
        <v>252</v>
      </c>
      <c r="C24" s="17">
        <f t="shared" si="9"/>
        <v>252000</v>
      </c>
      <c r="D24" s="35">
        <v>0</v>
      </c>
      <c r="E24" s="35">
        <v>0</v>
      </c>
      <c r="F24" s="35">
        <v>95216.326530612219</v>
      </c>
      <c r="G24" s="35">
        <v>0</v>
      </c>
      <c r="H24" s="36">
        <v>14399.999999999998</v>
      </c>
      <c r="I24">
        <f t="shared" si="0"/>
        <v>2591999.9999999995</v>
      </c>
      <c r="J24" s="17">
        <f t="shared" si="1"/>
        <v>251999.99999999994</v>
      </c>
      <c r="K24" s="16">
        <f t="shared" si="2"/>
        <v>25199.999999999996</v>
      </c>
      <c r="L24" s="30">
        <f t="shared" si="10"/>
        <v>31.7</v>
      </c>
      <c r="M24" s="17">
        <f t="shared" si="11"/>
        <v>7988399.9999999981</v>
      </c>
      <c r="N24" s="16">
        <f t="shared" si="3"/>
        <v>1133999.9999999998</v>
      </c>
      <c r="O24" s="16">
        <f t="shared" si="4"/>
        <v>163799.99999999997</v>
      </c>
      <c r="P24" s="16">
        <f t="shared" si="5"/>
        <v>5232763.1020408152</v>
      </c>
      <c r="Q24" s="17">
        <f t="shared" si="12"/>
        <v>2630879.9999999995</v>
      </c>
      <c r="R24" s="16">
        <f t="shared" si="13"/>
        <v>1094956.8979591834</v>
      </c>
      <c r="S24" s="16">
        <f t="shared" si="6"/>
        <v>259199.99999999997</v>
      </c>
      <c r="T24" s="16">
        <f t="shared" si="7"/>
        <v>334.69714285714275</v>
      </c>
      <c r="U24">
        <f t="shared" si="14"/>
        <v>0.1</v>
      </c>
      <c r="V24">
        <f t="shared" si="15"/>
        <v>259199.99999999997</v>
      </c>
      <c r="W24">
        <f t="shared" si="8"/>
        <v>2332799.9999999995</v>
      </c>
      <c r="Y24" s="16">
        <f t="shared" si="16"/>
        <v>0</v>
      </c>
    </row>
    <row r="25" spans="1:25">
      <c r="A25" s="26" t="s">
        <v>42</v>
      </c>
      <c r="B25" s="16">
        <v>120</v>
      </c>
      <c r="C25" s="17">
        <f t="shared" si="9"/>
        <v>120000</v>
      </c>
      <c r="D25" s="35">
        <v>0</v>
      </c>
      <c r="E25" s="35">
        <v>0</v>
      </c>
      <c r="F25" s="35">
        <v>45341.107871720109</v>
      </c>
      <c r="G25" s="35">
        <v>0</v>
      </c>
      <c r="H25" s="36">
        <v>6857.1428571428587</v>
      </c>
      <c r="I25">
        <f t="shared" si="0"/>
        <v>1234285.7142857141</v>
      </c>
      <c r="J25" s="17">
        <f t="shared" si="1"/>
        <v>119999.99999999997</v>
      </c>
      <c r="K25" s="16">
        <f t="shared" si="2"/>
        <v>12000.000000000002</v>
      </c>
      <c r="L25" s="30">
        <f t="shared" si="10"/>
        <v>38.700000000000003</v>
      </c>
      <c r="M25" s="17">
        <f t="shared" si="11"/>
        <v>4643999.9999999991</v>
      </c>
      <c r="N25" s="16">
        <f t="shared" si="3"/>
        <v>540000</v>
      </c>
      <c r="O25" s="16">
        <f t="shared" si="4"/>
        <v>77999.999999999985</v>
      </c>
      <c r="P25" s="16">
        <f t="shared" si="5"/>
        <v>2491791.9533527694</v>
      </c>
      <c r="Q25" s="17">
        <f t="shared" si="12"/>
        <v>1252799.9999999998</v>
      </c>
      <c r="R25" s="16">
        <f t="shared" si="13"/>
        <v>1361408.0466472299</v>
      </c>
      <c r="S25" s="16">
        <f t="shared" si="6"/>
        <v>123428.57142857145</v>
      </c>
      <c r="T25" s="16">
        <f t="shared" si="7"/>
        <v>159.37959183673468</v>
      </c>
      <c r="U25">
        <f t="shared" si="14"/>
        <v>0.10000000000000003</v>
      </c>
      <c r="V25">
        <f t="shared" si="15"/>
        <v>123428.57142857142</v>
      </c>
      <c r="W25">
        <f t="shared" si="8"/>
        <v>1110857.1428571427</v>
      </c>
      <c r="Y25" s="16">
        <f t="shared" si="16"/>
        <v>0</v>
      </c>
    </row>
    <row r="26" spans="1:25" ht="15.95" thickBot="1">
      <c r="A26" s="73" t="s">
        <v>43</v>
      </c>
      <c r="B26" s="74">
        <v>120</v>
      </c>
      <c r="C26" s="17">
        <f t="shared" si="9"/>
        <v>120000</v>
      </c>
      <c r="D26" s="75">
        <v>0</v>
      </c>
      <c r="E26" s="75">
        <v>0</v>
      </c>
      <c r="F26" s="75">
        <v>45341.107871720109</v>
      </c>
      <c r="G26" s="75">
        <v>0</v>
      </c>
      <c r="H26" s="76">
        <v>6857.1428571428587</v>
      </c>
      <c r="I26">
        <f t="shared" si="0"/>
        <v>1234285.7142857141</v>
      </c>
      <c r="J26" s="17">
        <f t="shared" si="1"/>
        <v>119999.99999999997</v>
      </c>
      <c r="K26" s="74">
        <f t="shared" si="2"/>
        <v>12000.000000000002</v>
      </c>
      <c r="L26" s="30">
        <f t="shared" si="10"/>
        <v>30.1</v>
      </c>
      <c r="M26" s="17">
        <f t="shared" si="11"/>
        <v>3611999.9999999991</v>
      </c>
      <c r="N26" s="74">
        <f t="shared" si="3"/>
        <v>540000</v>
      </c>
      <c r="O26" s="74">
        <f t="shared" si="4"/>
        <v>77999.999999999985</v>
      </c>
      <c r="P26" s="74">
        <f t="shared" si="5"/>
        <v>2491791.9533527694</v>
      </c>
      <c r="Q26" s="17">
        <f>J26*0.8*0.87*15</f>
        <v>1252799.9999999998</v>
      </c>
      <c r="R26" s="74">
        <f t="shared" si="13"/>
        <v>329408.04664722993</v>
      </c>
      <c r="S26" s="74">
        <f t="shared" si="6"/>
        <v>123428.57142857145</v>
      </c>
      <c r="T26" s="74">
        <f t="shared" si="7"/>
        <v>159.37959183673468</v>
      </c>
      <c r="U26">
        <f t="shared" si="14"/>
        <v>0.10000000000000003</v>
      </c>
      <c r="V26">
        <f t="shared" si="15"/>
        <v>123428.57142857142</v>
      </c>
      <c r="W26">
        <f t="shared" si="8"/>
        <v>1110857.1428571427</v>
      </c>
      <c r="Y26" s="16">
        <f t="shared" si="16"/>
        <v>0</v>
      </c>
    </row>
    <row r="27" spans="1:25" ht="15.95" thickBot="1">
      <c r="A27" s="31" t="s">
        <v>44</v>
      </c>
      <c r="B27" s="31"/>
      <c r="C27" s="31">
        <f>SUM(C7:C26)</f>
        <v>3672000</v>
      </c>
      <c r="D27" s="31">
        <f>SUM(D7:D26)</f>
        <v>490653.6779764212</v>
      </c>
      <c r="E27" s="31">
        <f t="shared" ref="E27:H27" si="17">SUM(E7:E26)</f>
        <v>0</v>
      </c>
      <c r="F27" s="31">
        <f t="shared" si="17"/>
        <v>484765.63744706428</v>
      </c>
      <c r="G27" s="31">
        <f t="shared" si="17"/>
        <v>30038.675996883587</v>
      </c>
      <c r="H27" s="31">
        <f t="shared" si="17"/>
        <v>156342.85714285719</v>
      </c>
      <c r="I27" s="31"/>
      <c r="J27" s="31">
        <f>SUM(J7:J26)</f>
        <v>2736000</v>
      </c>
      <c r="K27" s="31">
        <f t="shared" ref="K27:R27" si="18">SUM(K7:K26)</f>
        <v>273600</v>
      </c>
      <c r="L27" s="31">
        <f t="shared" si="18"/>
        <v>650.15000000000009</v>
      </c>
      <c r="M27" s="31">
        <f t="shared" si="18"/>
        <v>95597400</v>
      </c>
      <c r="N27" s="31">
        <f t="shared" si="18"/>
        <v>12312000</v>
      </c>
      <c r="O27" s="31">
        <f t="shared" si="18"/>
        <v>1778400</v>
      </c>
      <c r="P27" s="31">
        <f t="shared" si="18"/>
        <v>54909992.418155588</v>
      </c>
      <c r="Q27" s="31">
        <f t="shared" si="18"/>
        <v>28563840</v>
      </c>
      <c r="R27" s="66">
        <f t="shared" si="18"/>
        <v>22657167.581844404</v>
      </c>
      <c r="S27" s="31">
        <f t="shared" ref="S27:T27" si="19">SUM(S7:S26)</f>
        <v>2814171.4285714291</v>
      </c>
      <c r="T27" s="31">
        <f t="shared" si="19"/>
        <v>9000.00000000002</v>
      </c>
      <c r="V27">
        <f>SUM(V7:V26)</f>
        <v>2814171.4285714286</v>
      </c>
      <c r="W27">
        <f t="shared" si="8"/>
        <v>25327542.857142854</v>
      </c>
      <c r="Y27" s="32"/>
    </row>
    <row r="28" spans="1:25" ht="15.95" thickBot="1">
      <c r="L28" s="67"/>
      <c r="M28" s="67"/>
      <c r="N28" s="67"/>
      <c r="O28" s="67"/>
      <c r="P28" s="67"/>
    </row>
    <row r="29" spans="1:25" ht="15.95" thickBot="1">
      <c r="F29" s="37" t="s">
        <v>45</v>
      </c>
      <c r="G29" s="37" t="s">
        <v>46</v>
      </c>
      <c r="J29" s="31" t="s">
        <v>47</v>
      </c>
      <c r="K29" s="31" t="s">
        <v>48</v>
      </c>
      <c r="L29" s="11"/>
      <c r="M29" s="31" t="s">
        <v>49</v>
      </c>
      <c r="N29" s="31" t="s">
        <v>50</v>
      </c>
      <c r="O29" s="31" t="s">
        <v>51</v>
      </c>
      <c r="P29" s="31" t="s">
        <v>52</v>
      </c>
      <c r="Q29" s="31" t="s">
        <v>53</v>
      </c>
      <c r="R29" s="31" t="s">
        <v>54</v>
      </c>
    </row>
    <row r="30" spans="1:25">
      <c r="F30" s="16" t="s">
        <v>24</v>
      </c>
      <c r="G30" s="16">
        <v>36</v>
      </c>
      <c r="J30" s="16" t="s">
        <v>55</v>
      </c>
      <c r="K30" s="16">
        <v>0.35</v>
      </c>
      <c r="M30" s="77" t="s">
        <v>56</v>
      </c>
      <c r="N30" s="16">
        <v>42.56</v>
      </c>
      <c r="O30" s="16">
        <v>43.93</v>
      </c>
      <c r="P30" s="16">
        <v>43.8</v>
      </c>
      <c r="Q30" s="16">
        <v>42</v>
      </c>
      <c r="R30" s="16">
        <v>73.77</v>
      </c>
    </row>
    <row r="31" spans="1:25">
      <c r="F31" s="16" t="s">
        <v>25</v>
      </c>
      <c r="G31" s="16">
        <v>27</v>
      </c>
      <c r="J31" s="16" t="s">
        <v>57</v>
      </c>
      <c r="K31" s="16">
        <v>1000</v>
      </c>
      <c r="M31" s="77" t="s">
        <v>58</v>
      </c>
      <c r="N31" s="16">
        <v>25.81</v>
      </c>
      <c r="O31" s="16">
        <v>25.12</v>
      </c>
      <c r="P31" s="16">
        <v>24.5</v>
      </c>
      <c r="Q31" s="16">
        <v>26.2</v>
      </c>
      <c r="R31" s="16">
        <v>18</v>
      </c>
    </row>
    <row r="32" spans="1:25">
      <c r="F32" s="16" t="s">
        <v>26</v>
      </c>
      <c r="G32" s="16">
        <v>33.5</v>
      </c>
      <c r="J32" s="16" t="s">
        <v>59</v>
      </c>
      <c r="K32" s="16">
        <v>0.65</v>
      </c>
      <c r="M32" s="77" t="s">
        <v>60</v>
      </c>
      <c r="N32" s="16">
        <v>1.38</v>
      </c>
      <c r="O32" s="16">
        <v>0.7</v>
      </c>
      <c r="P32" s="16">
        <v>0.35</v>
      </c>
      <c r="Q32" s="16">
        <v>1.72</v>
      </c>
      <c r="R32" s="16">
        <v>0.01</v>
      </c>
    </row>
    <row r="33" spans="6:34">
      <c r="F33" s="16" t="s">
        <v>27</v>
      </c>
      <c r="G33" s="16">
        <v>26.2</v>
      </c>
      <c r="J33" s="16" t="s">
        <v>61</v>
      </c>
      <c r="K33" s="16">
        <v>0.8</v>
      </c>
      <c r="W33" s="9"/>
    </row>
    <row r="34" spans="6:34">
      <c r="F34" s="16" t="s">
        <v>28</v>
      </c>
      <c r="G34" s="16">
        <v>36.35</v>
      </c>
      <c r="J34" s="16" t="s">
        <v>62</v>
      </c>
      <c r="K34" s="16">
        <v>15</v>
      </c>
      <c r="W34" s="9"/>
    </row>
    <row r="35" spans="6:34">
      <c r="F35" s="16" t="s">
        <v>29</v>
      </c>
      <c r="G35" s="16">
        <v>27</v>
      </c>
      <c r="J35" s="16" t="s">
        <v>63</v>
      </c>
      <c r="K35" s="16">
        <v>0.87</v>
      </c>
      <c r="W35" s="9"/>
    </row>
    <row r="36" spans="6:34">
      <c r="F36" s="16" t="s">
        <v>30</v>
      </c>
      <c r="G36" s="16">
        <v>34.299999999999997</v>
      </c>
      <c r="J36" s="16" t="s">
        <v>64</v>
      </c>
      <c r="K36" s="16">
        <v>45</v>
      </c>
      <c r="W36" s="9"/>
    </row>
    <row r="37" spans="6:34">
      <c r="F37" s="16" t="s">
        <v>31</v>
      </c>
      <c r="G37" s="16">
        <v>26.3</v>
      </c>
      <c r="J37" s="16" t="s">
        <v>65</v>
      </c>
      <c r="K37" s="16">
        <v>9000</v>
      </c>
      <c r="W37" s="9"/>
    </row>
    <row r="38" spans="6:34">
      <c r="F38" s="16" t="s">
        <v>32</v>
      </c>
      <c r="G38" s="16">
        <v>37.65</v>
      </c>
      <c r="J38" s="16" t="s">
        <v>66</v>
      </c>
      <c r="K38" s="16">
        <v>600000</v>
      </c>
    </row>
    <row r="39" spans="6:34">
      <c r="F39" s="16" t="s">
        <v>33</v>
      </c>
      <c r="G39" s="16">
        <v>28.2</v>
      </c>
      <c r="J39" s="16" t="s">
        <v>67</v>
      </c>
      <c r="K39" s="16">
        <v>0.1</v>
      </c>
      <c r="Q39" s="13"/>
    </row>
    <row r="40" spans="6:34">
      <c r="F40" s="16" t="s">
        <v>34</v>
      </c>
      <c r="G40" s="16">
        <v>35.65</v>
      </c>
      <c r="J40" s="16" t="s">
        <v>68</v>
      </c>
      <c r="K40" s="16">
        <v>12</v>
      </c>
      <c r="O40" s="13"/>
    </row>
    <row r="41" spans="6:34">
      <c r="F41" s="16" t="s">
        <v>35</v>
      </c>
      <c r="G41" s="16">
        <v>27.5</v>
      </c>
      <c r="J41" s="16" t="s">
        <v>69</v>
      </c>
      <c r="K41" s="16">
        <v>12</v>
      </c>
      <c r="O41" s="13"/>
    </row>
    <row r="42" spans="6:34">
      <c r="F42" s="16" t="s">
        <v>36</v>
      </c>
      <c r="G42" s="16">
        <v>38.35</v>
      </c>
      <c r="J42" s="16" t="s">
        <v>70</v>
      </c>
      <c r="K42" s="16">
        <v>0</v>
      </c>
      <c r="O42" s="13"/>
      <c r="AC42" s="28"/>
    </row>
    <row r="43" spans="6:34">
      <c r="F43" s="16" t="s">
        <v>37</v>
      </c>
      <c r="G43" s="16">
        <v>28.5</v>
      </c>
      <c r="J43" s="16" t="s">
        <v>71</v>
      </c>
      <c r="K43" s="16">
        <v>0</v>
      </c>
      <c r="O43" s="13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spans="6:34">
      <c r="F44" s="16" t="s">
        <v>38</v>
      </c>
      <c r="G44" s="16">
        <v>35.799999999999997</v>
      </c>
      <c r="J44" s="16" t="s">
        <v>72</v>
      </c>
      <c r="K44" s="16">
        <v>0</v>
      </c>
      <c r="O44" s="13"/>
    </row>
    <row r="45" spans="6:34">
      <c r="F45" s="16" t="s">
        <v>39</v>
      </c>
      <c r="G45" s="16">
        <v>27.65</v>
      </c>
    </row>
    <row r="46" spans="6:34">
      <c r="F46" s="16" t="s">
        <v>40</v>
      </c>
      <c r="G46" s="16">
        <v>43.7</v>
      </c>
    </row>
    <row r="47" spans="6:34">
      <c r="F47" s="16" t="s">
        <v>41</v>
      </c>
      <c r="G47" s="16">
        <v>31.7</v>
      </c>
    </row>
    <row r="48" spans="6:34">
      <c r="F48" s="16" t="s">
        <v>42</v>
      </c>
      <c r="G48" s="16">
        <v>38.700000000000003</v>
      </c>
    </row>
    <row r="49" spans="6:7">
      <c r="F49" s="16" t="s">
        <v>43</v>
      </c>
      <c r="G49" s="16">
        <v>30.1</v>
      </c>
    </row>
  </sheetData>
  <mergeCells count="1">
    <mergeCell ref="L28:P28"/>
  </mergeCells>
  <phoneticPr fontId="10" type="noConversion"/>
  <pageMargins left="0.7" right="0.7" top="0.75" bottom="0.75" header="0.3" footer="0.3"/>
  <ignoredErrors>
    <ignoredError sqref="J7 O8:P26 T7:T26 O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AC63-F6A9-6D49-88E9-31B4B08E4D63}">
  <dimension ref="A1:H154"/>
  <sheetViews>
    <sheetView showGridLines="0" topLeftCell="A123" workbookViewId="0">
      <selection sqref="A1:A3"/>
    </sheetView>
  </sheetViews>
  <sheetFormatPr defaultColWidth="11.42578125" defaultRowHeight="15"/>
  <cols>
    <col min="1" max="1" width="2.28515625" customWidth="1"/>
    <col min="2" max="2" width="6.28515625" bestFit="1" customWidth="1"/>
    <col min="3" max="3" width="43.85546875" bestFit="1" customWidth="1"/>
    <col min="4" max="4" width="12.140625" bestFit="1" customWidth="1"/>
    <col min="5" max="6" width="12.7109375" bestFit="1" customWidth="1"/>
    <col min="7" max="8" width="12.140625" bestFit="1" customWidth="1"/>
  </cols>
  <sheetData>
    <row r="1" spans="1:8">
      <c r="A1" s="7" t="s">
        <v>73</v>
      </c>
    </row>
    <row r="2" spans="1:8">
      <c r="A2" s="7" t="s">
        <v>74</v>
      </c>
    </row>
    <row r="3" spans="1:8">
      <c r="A3" s="7" t="s">
        <v>75</v>
      </c>
    </row>
    <row r="6" spans="1:8" ht="15.95" thickBot="1">
      <c r="A6" t="s">
        <v>76</v>
      </c>
    </row>
    <row r="7" spans="1:8">
      <c r="B7" s="51"/>
      <c r="C7" s="51"/>
      <c r="D7" s="51" t="s">
        <v>77</v>
      </c>
      <c r="E7" s="51" t="s">
        <v>78</v>
      </c>
      <c r="F7" s="51" t="s">
        <v>79</v>
      </c>
      <c r="G7" s="51" t="s">
        <v>80</v>
      </c>
      <c r="H7" s="51" t="s">
        <v>80</v>
      </c>
    </row>
    <row r="8" spans="1:8" ht="15.95" thickBot="1">
      <c r="B8" s="52" t="s">
        <v>81</v>
      </c>
      <c r="C8" s="52" t="s">
        <v>82</v>
      </c>
      <c r="D8" s="52" t="s">
        <v>48</v>
      </c>
      <c r="E8" s="52" t="s">
        <v>83</v>
      </c>
      <c r="F8" s="52" t="s">
        <v>84</v>
      </c>
      <c r="G8" s="52" t="s">
        <v>85</v>
      </c>
      <c r="H8" s="52" t="s">
        <v>86</v>
      </c>
    </row>
    <row r="9" spans="1:8">
      <c r="B9" s="78" t="s">
        <v>87</v>
      </c>
      <c r="C9" s="78" t="s">
        <v>88</v>
      </c>
      <c r="D9" s="78">
        <v>94687.551890186543</v>
      </c>
      <c r="E9" s="78">
        <v>0</v>
      </c>
      <c r="F9" s="78">
        <v>19.946801388888879</v>
      </c>
      <c r="G9" s="78">
        <v>54.611679051663408</v>
      </c>
      <c r="H9" s="78">
        <v>5.4620564149239541E-2</v>
      </c>
    </row>
    <row r="10" spans="1:8">
      <c r="B10" s="78" t="s">
        <v>89</v>
      </c>
      <c r="C10" s="78" t="s">
        <v>90</v>
      </c>
      <c r="D10" s="78">
        <v>0</v>
      </c>
      <c r="E10" s="78">
        <v>-0.19517996177701682</v>
      </c>
      <c r="F10" s="78">
        <v>16.905755555555515</v>
      </c>
      <c r="G10" s="78">
        <v>0.19517996177701682</v>
      </c>
      <c r="H10" s="78">
        <v>1E+30</v>
      </c>
    </row>
    <row r="11" spans="1:8">
      <c r="B11" s="78" t="s">
        <v>91</v>
      </c>
      <c r="C11" s="78" t="s">
        <v>92</v>
      </c>
      <c r="D11" s="78">
        <v>0</v>
      </c>
      <c r="E11" s="78">
        <v>5.184826895234397E-2</v>
      </c>
      <c r="F11" s="78">
        <v>15.534236111111106</v>
      </c>
      <c r="G11" s="78">
        <v>5.184826895234397E-2</v>
      </c>
      <c r="H11" s="78">
        <v>1E+30</v>
      </c>
    </row>
    <row r="12" spans="1:8">
      <c r="B12" s="78" t="s">
        <v>93</v>
      </c>
      <c r="C12" s="78" t="s">
        <v>94</v>
      </c>
      <c r="D12" s="78">
        <v>0</v>
      </c>
      <c r="E12" s="78">
        <v>5.5445903940723629E-2</v>
      </c>
      <c r="F12" s="78">
        <v>21.451305555555621</v>
      </c>
      <c r="G12" s="78">
        <v>5.5445903940723629E-2</v>
      </c>
      <c r="H12" s="78">
        <v>1E+30</v>
      </c>
    </row>
    <row r="13" spans="1:8">
      <c r="B13" s="78" t="s">
        <v>95</v>
      </c>
      <c r="C13" s="78" t="s">
        <v>96</v>
      </c>
      <c r="D13" s="78">
        <v>15085.714285714288</v>
      </c>
      <c r="E13" s="78">
        <v>0</v>
      </c>
      <c r="F13" s="78">
        <v>48.572499999999991</v>
      </c>
      <c r="G13" s="78">
        <v>1E+30</v>
      </c>
      <c r="H13" s="78">
        <v>38.086409257262325</v>
      </c>
    </row>
    <row r="14" spans="1:8">
      <c r="B14" s="78" t="s">
        <v>97</v>
      </c>
      <c r="C14" s="78" t="s">
        <v>98</v>
      </c>
      <c r="D14" s="78">
        <v>0</v>
      </c>
      <c r="E14" s="78">
        <v>-2.3758396479967545</v>
      </c>
      <c r="F14" s="78">
        <v>-2.6369486111111371</v>
      </c>
      <c r="G14" s="78">
        <v>2.3758396479967545</v>
      </c>
      <c r="H14" s="78">
        <v>1E+30</v>
      </c>
    </row>
    <row r="15" spans="1:8">
      <c r="B15" s="78" t="s">
        <v>99</v>
      </c>
      <c r="C15" s="78" t="s">
        <v>100</v>
      </c>
      <c r="D15" s="78">
        <v>0</v>
      </c>
      <c r="E15" s="78">
        <v>-2.5075043305363014</v>
      </c>
      <c r="F15" s="78">
        <v>-5.0742444444444459</v>
      </c>
      <c r="G15" s="78">
        <v>2.5075043305363014</v>
      </c>
      <c r="H15" s="78">
        <v>1E+30</v>
      </c>
    </row>
    <row r="16" spans="1:8">
      <c r="B16" s="78" t="s">
        <v>101</v>
      </c>
      <c r="C16" s="78" t="s">
        <v>102</v>
      </c>
      <c r="D16" s="78">
        <v>0</v>
      </c>
      <c r="E16" s="78">
        <v>-2.2034043996226087</v>
      </c>
      <c r="F16" s="78">
        <v>-5.9032638888888869</v>
      </c>
      <c r="G16" s="78">
        <v>2.2034043996226087</v>
      </c>
      <c r="H16" s="78">
        <v>1E+30</v>
      </c>
    </row>
    <row r="17" spans="2:8">
      <c r="B17" s="78" t="s">
        <v>103</v>
      </c>
      <c r="C17" s="78" t="s">
        <v>104</v>
      </c>
      <c r="D17" s="78">
        <v>0</v>
      </c>
      <c r="E17" s="78">
        <v>-2.3562936844945459</v>
      </c>
      <c r="F17" s="78">
        <v>-1.4736944444443907</v>
      </c>
      <c r="G17" s="78">
        <v>2.3562936844945459</v>
      </c>
      <c r="H17" s="78">
        <v>1E+30</v>
      </c>
    </row>
    <row r="18" spans="2:8">
      <c r="B18" s="78" t="s">
        <v>105</v>
      </c>
      <c r="C18" s="78" t="s">
        <v>106</v>
      </c>
      <c r="D18" s="78">
        <v>0</v>
      </c>
      <c r="E18" s="78">
        <v>0</v>
      </c>
      <c r="F18" s="78">
        <v>32.822499999999991</v>
      </c>
      <c r="G18" s="78">
        <v>14.569449499545406</v>
      </c>
      <c r="H18" s="78">
        <v>32.786540036396708</v>
      </c>
    </row>
    <row r="19" spans="2:8">
      <c r="B19" s="78" t="s">
        <v>107</v>
      </c>
      <c r="C19" s="78" t="s">
        <v>108</v>
      </c>
      <c r="D19" s="78">
        <v>34431.83705097693</v>
      </c>
      <c r="E19" s="78">
        <v>0</v>
      </c>
      <c r="F19" s="78">
        <v>13.673537499999981</v>
      </c>
      <c r="G19" s="78">
        <v>54.611679051663394</v>
      </c>
      <c r="H19" s="78">
        <v>5.4620564149180997E-2</v>
      </c>
    </row>
    <row r="20" spans="2:8">
      <c r="B20" s="78" t="s">
        <v>109</v>
      </c>
      <c r="C20" s="78" t="s">
        <v>110</v>
      </c>
      <c r="D20" s="78">
        <v>0</v>
      </c>
      <c r="E20" s="78">
        <v>-0.19517996177701544</v>
      </c>
      <c r="F20" s="78">
        <v>10.800199999999961</v>
      </c>
      <c r="G20" s="78">
        <v>0.19517996177701544</v>
      </c>
      <c r="H20" s="78">
        <v>1E+30</v>
      </c>
    </row>
    <row r="21" spans="2:8">
      <c r="B21" s="78" t="s">
        <v>111</v>
      </c>
      <c r="C21" s="78" t="s">
        <v>112</v>
      </c>
      <c r="D21" s="78">
        <v>0</v>
      </c>
      <c r="E21" s="78">
        <v>5.1848268952413346E-2</v>
      </c>
      <c r="F21" s="78">
        <v>9.5793750000000557</v>
      </c>
      <c r="G21" s="78">
        <v>5.1848268952413346E-2</v>
      </c>
      <c r="H21" s="78">
        <v>1E+30</v>
      </c>
    </row>
    <row r="22" spans="2:8">
      <c r="B22" s="78" t="s">
        <v>113</v>
      </c>
      <c r="C22" s="78" t="s">
        <v>114</v>
      </c>
      <c r="D22" s="78">
        <v>0</v>
      </c>
      <c r="E22" s="78">
        <v>5.5445903940664211E-2</v>
      </c>
      <c r="F22" s="78">
        <v>15.083249999999992</v>
      </c>
      <c r="G22" s="78">
        <v>5.5445903940664211E-2</v>
      </c>
      <c r="H22" s="78">
        <v>1E+30</v>
      </c>
    </row>
    <row r="23" spans="2:8">
      <c r="B23" s="78" t="s">
        <v>115</v>
      </c>
      <c r="C23" s="78" t="s">
        <v>116</v>
      </c>
      <c r="D23" s="78">
        <v>5485.7142857142871</v>
      </c>
      <c r="E23" s="78">
        <v>0</v>
      </c>
      <c r="F23" s="78">
        <v>44.197499999999991</v>
      </c>
      <c r="G23" s="78">
        <v>1E+30</v>
      </c>
      <c r="H23" s="78">
        <v>38.086409257262311</v>
      </c>
    </row>
    <row r="24" spans="2:8">
      <c r="B24" s="78" t="s">
        <v>117</v>
      </c>
      <c r="C24" s="78" t="s">
        <v>118</v>
      </c>
      <c r="D24" s="78">
        <v>0</v>
      </c>
      <c r="E24" s="78">
        <v>-4.6063334751572382</v>
      </c>
      <c r="F24" s="78">
        <v>-4.6443930555555824</v>
      </c>
      <c r="G24" s="78">
        <v>4.6063334751572382</v>
      </c>
      <c r="H24" s="78">
        <v>1E+30</v>
      </c>
    </row>
    <row r="25" spans="2:8">
      <c r="B25" s="78" t="s">
        <v>119</v>
      </c>
      <c r="C25" s="78" t="s">
        <v>120</v>
      </c>
      <c r="D25" s="78">
        <v>0</v>
      </c>
      <c r="E25" s="78">
        <v>-4.6783685280671357</v>
      </c>
      <c r="F25" s="78">
        <v>-7.0280222222222051</v>
      </c>
      <c r="G25" s="78">
        <v>4.6783685280671357</v>
      </c>
      <c r="H25" s="78">
        <v>1E+30</v>
      </c>
    </row>
    <row r="26" spans="2:8">
      <c r="B26" s="78" t="s">
        <v>121</v>
      </c>
      <c r="C26" s="78" t="s">
        <v>122</v>
      </c>
      <c r="D26" s="78">
        <v>0</v>
      </c>
      <c r="E26" s="78">
        <v>-4.3206883502398847</v>
      </c>
      <c r="F26" s="78">
        <v>-7.8088194444444525</v>
      </c>
      <c r="G26" s="78">
        <v>4.3206883502398847</v>
      </c>
      <c r="H26" s="78">
        <v>1E+30</v>
      </c>
    </row>
    <row r="27" spans="2:8">
      <c r="B27" s="78" t="s">
        <v>123</v>
      </c>
      <c r="C27" s="78" t="s">
        <v>124</v>
      </c>
      <c r="D27" s="78">
        <v>0</v>
      </c>
      <c r="E27" s="78">
        <v>-4.6204912153588156</v>
      </c>
      <c r="F27" s="78">
        <v>-3.5114722222222383</v>
      </c>
      <c r="G27" s="78">
        <v>4.6204912153588156</v>
      </c>
      <c r="H27" s="78">
        <v>1E+30</v>
      </c>
    </row>
    <row r="28" spans="2:8">
      <c r="B28" s="78" t="s">
        <v>125</v>
      </c>
      <c r="C28" s="78" t="s">
        <v>126</v>
      </c>
      <c r="D28" s="78">
        <v>0</v>
      </c>
      <c r="E28" s="78">
        <v>0</v>
      </c>
      <c r="F28" s="78">
        <v>31.422500000000042</v>
      </c>
      <c r="G28" s="78">
        <v>28.56944949954535</v>
      </c>
      <c r="H28" s="78">
        <v>31.38654003639677</v>
      </c>
    </row>
    <row r="29" spans="2:8">
      <c r="B29" s="78" t="s">
        <v>127</v>
      </c>
      <c r="C29" s="78" t="s">
        <v>128</v>
      </c>
      <c r="D29" s="78">
        <v>94687.551890186543</v>
      </c>
      <c r="E29" s="78">
        <v>0</v>
      </c>
      <c r="F29" s="78">
        <v>20.825058333333345</v>
      </c>
      <c r="G29" s="78">
        <v>54.611679051663494</v>
      </c>
      <c r="H29" s="78">
        <v>5.462056414920187E-2</v>
      </c>
    </row>
    <row r="30" spans="2:8">
      <c r="B30" s="78" t="s">
        <v>129</v>
      </c>
      <c r="C30" s="78" t="s">
        <v>130</v>
      </c>
      <c r="D30" s="78">
        <v>0</v>
      </c>
      <c r="E30" s="78">
        <v>-0.19517996177698974</v>
      </c>
      <c r="F30" s="78">
        <v>17.760533333333342</v>
      </c>
      <c r="G30" s="78">
        <v>0.19517996177698974</v>
      </c>
      <c r="H30" s="78">
        <v>1E+30</v>
      </c>
    </row>
    <row r="31" spans="2:8">
      <c r="B31" s="78" t="s">
        <v>131</v>
      </c>
      <c r="C31" s="78" t="s">
        <v>132</v>
      </c>
      <c r="D31" s="78">
        <v>0</v>
      </c>
      <c r="E31" s="78">
        <v>5.1848268952251836E-2</v>
      </c>
      <c r="F31" s="78">
        <v>16.367916666666588</v>
      </c>
      <c r="G31" s="78">
        <v>5.1848268952251836E-2</v>
      </c>
      <c r="H31" s="78">
        <v>1E+30</v>
      </c>
    </row>
    <row r="32" spans="2:8">
      <c r="B32" s="78" t="s">
        <v>133</v>
      </c>
      <c r="C32" s="78" t="s">
        <v>134</v>
      </c>
      <c r="D32" s="78">
        <v>0</v>
      </c>
      <c r="E32" s="78">
        <v>5.5445903940685388E-2</v>
      </c>
      <c r="F32" s="78">
        <v>22.342833333333374</v>
      </c>
      <c r="G32" s="78">
        <v>5.5445903940685388E-2</v>
      </c>
      <c r="H32" s="78">
        <v>1E+30</v>
      </c>
    </row>
    <row r="33" spans="2:8">
      <c r="B33" s="78" t="s">
        <v>135</v>
      </c>
      <c r="C33" s="78" t="s">
        <v>136</v>
      </c>
      <c r="D33" s="78">
        <v>15085.714285714288</v>
      </c>
      <c r="E33" s="78">
        <v>0</v>
      </c>
      <c r="F33" s="78">
        <v>49.185000000000059</v>
      </c>
      <c r="G33" s="78">
        <v>1E+30</v>
      </c>
      <c r="H33" s="78">
        <v>38.086409257262382</v>
      </c>
    </row>
    <row r="34" spans="2:8">
      <c r="B34" s="78" t="s">
        <v>137</v>
      </c>
      <c r="C34" s="78" t="s">
        <v>138</v>
      </c>
      <c r="D34" s="78">
        <v>0</v>
      </c>
      <c r="E34" s="78">
        <v>-2.3758396479967261</v>
      </c>
      <c r="F34" s="78">
        <v>-2.6369486111111087</v>
      </c>
      <c r="G34" s="78">
        <v>2.3758396479967261</v>
      </c>
      <c r="H34" s="78">
        <v>1E+30</v>
      </c>
    </row>
    <row r="35" spans="2:8">
      <c r="B35" s="78" t="s">
        <v>139</v>
      </c>
      <c r="C35" s="78" t="s">
        <v>140</v>
      </c>
      <c r="D35" s="78">
        <v>0</v>
      </c>
      <c r="E35" s="78">
        <v>-2.5075043305362978</v>
      </c>
      <c r="F35" s="78">
        <v>-5.0742444444444459</v>
      </c>
      <c r="G35" s="78">
        <v>2.5075043305362978</v>
      </c>
      <c r="H35" s="78">
        <v>1E+30</v>
      </c>
    </row>
    <row r="36" spans="2:8">
      <c r="B36" s="78" t="s">
        <v>141</v>
      </c>
      <c r="C36" s="78" t="s">
        <v>142</v>
      </c>
      <c r="D36" s="78">
        <v>0</v>
      </c>
      <c r="E36" s="78">
        <v>-2.2034043996225994</v>
      </c>
      <c r="F36" s="78">
        <v>-5.9032638888888869</v>
      </c>
      <c r="G36" s="78">
        <v>2.2034043996225994</v>
      </c>
      <c r="H36" s="78">
        <v>1E+30</v>
      </c>
    </row>
    <row r="37" spans="2:8">
      <c r="B37" s="78" t="s">
        <v>143</v>
      </c>
      <c r="C37" s="78" t="s">
        <v>144</v>
      </c>
      <c r="D37" s="78">
        <v>0</v>
      </c>
      <c r="E37" s="78">
        <v>-2.356293684494557</v>
      </c>
      <c r="F37" s="78">
        <v>-1.4736944444443907</v>
      </c>
      <c r="G37" s="78">
        <v>2.356293684494557</v>
      </c>
      <c r="H37" s="78">
        <v>1E+30</v>
      </c>
    </row>
    <row r="38" spans="2:8">
      <c r="B38" s="78" t="s">
        <v>145</v>
      </c>
      <c r="C38" s="78" t="s">
        <v>146</v>
      </c>
      <c r="D38" s="78">
        <v>0</v>
      </c>
      <c r="E38" s="78">
        <v>0</v>
      </c>
      <c r="F38" s="78">
        <v>32.822499999999991</v>
      </c>
      <c r="G38" s="78">
        <v>14.569449499545344</v>
      </c>
      <c r="H38" s="78">
        <v>32.786540036396715</v>
      </c>
    </row>
    <row r="39" spans="2:8">
      <c r="B39" s="78" t="s">
        <v>147</v>
      </c>
      <c r="C39" s="78" t="s">
        <v>148</v>
      </c>
      <c r="D39" s="78">
        <v>38735.816682349046</v>
      </c>
      <c r="E39" s="78">
        <v>0</v>
      </c>
      <c r="F39" s="78">
        <v>15.680981944444397</v>
      </c>
      <c r="G39" s="78">
        <v>54.6116790516636</v>
      </c>
      <c r="H39" s="78">
        <v>5.4620564149166592E-2</v>
      </c>
    </row>
    <row r="40" spans="2:8">
      <c r="B40" s="78" t="s">
        <v>149</v>
      </c>
      <c r="C40" s="78" t="s">
        <v>150</v>
      </c>
      <c r="D40" s="78">
        <v>0</v>
      </c>
      <c r="E40" s="78">
        <v>-0.19517996177694105</v>
      </c>
      <c r="F40" s="78">
        <v>12.753977777777777</v>
      </c>
      <c r="G40" s="78">
        <v>0.19517996177694105</v>
      </c>
      <c r="H40" s="78">
        <v>1E+30</v>
      </c>
    </row>
    <row r="41" spans="2:8">
      <c r="B41" s="78" t="s">
        <v>151</v>
      </c>
      <c r="C41" s="78" t="s">
        <v>152</v>
      </c>
      <c r="D41" s="78">
        <v>0</v>
      </c>
      <c r="E41" s="78">
        <v>5.1848268952423907E-2</v>
      </c>
      <c r="F41" s="78">
        <v>11.484930555555593</v>
      </c>
      <c r="G41" s="78">
        <v>5.1848268952423907E-2</v>
      </c>
      <c r="H41" s="78">
        <v>1E+30</v>
      </c>
    </row>
    <row r="42" spans="2:8">
      <c r="B42" s="78" t="s">
        <v>153</v>
      </c>
      <c r="C42" s="78" t="s">
        <v>154</v>
      </c>
      <c r="D42" s="78">
        <v>0</v>
      </c>
      <c r="E42" s="78">
        <v>5.5445903940649577E-2</v>
      </c>
      <c r="F42" s="78">
        <v>17.121027777777726</v>
      </c>
      <c r="G42" s="78">
        <v>5.5445903940649577E-2</v>
      </c>
      <c r="H42" s="78">
        <v>1E+30</v>
      </c>
    </row>
    <row r="43" spans="2:8">
      <c r="B43" s="78" t="s">
        <v>155</v>
      </c>
      <c r="C43" s="78" t="s">
        <v>156</v>
      </c>
      <c r="D43" s="78">
        <v>6171.4285714285734</v>
      </c>
      <c r="E43" s="78">
        <v>0</v>
      </c>
      <c r="F43" s="78">
        <v>45.597500000000082</v>
      </c>
      <c r="G43" s="78">
        <v>3.0954728711732442E+17</v>
      </c>
      <c r="H43" s="78">
        <v>38.086409257262453</v>
      </c>
    </row>
    <row r="44" spans="2:8">
      <c r="B44" s="78" t="s">
        <v>157</v>
      </c>
      <c r="C44" s="78" t="s">
        <v>158</v>
      </c>
      <c r="D44" s="78">
        <v>0</v>
      </c>
      <c r="E44" s="78">
        <v>-4.3275217467621419</v>
      </c>
      <c r="F44" s="78">
        <v>-4.3934624999999983</v>
      </c>
      <c r="G44" s="78">
        <v>4.3275217467621419</v>
      </c>
      <c r="H44" s="78">
        <v>1E+30</v>
      </c>
    </row>
    <row r="45" spans="2:8">
      <c r="B45" s="78" t="s">
        <v>159</v>
      </c>
      <c r="C45" s="78" t="s">
        <v>160</v>
      </c>
      <c r="D45" s="78">
        <v>0</v>
      </c>
      <c r="E45" s="78">
        <v>-4.4070105033758429</v>
      </c>
      <c r="F45" s="78">
        <v>-6.783800000000042</v>
      </c>
      <c r="G45" s="78">
        <v>4.4070105033758429</v>
      </c>
      <c r="H45" s="78">
        <v>1E+30</v>
      </c>
    </row>
    <row r="46" spans="2:8">
      <c r="B46" s="78" t="s">
        <v>161</v>
      </c>
      <c r="C46" s="78" t="s">
        <v>162</v>
      </c>
      <c r="D46" s="78">
        <v>0</v>
      </c>
      <c r="E46" s="78">
        <v>-4.0560278564127366</v>
      </c>
      <c r="F46" s="78">
        <v>-7.5706250000000068</v>
      </c>
      <c r="G46" s="78">
        <v>4.0560278564127366</v>
      </c>
      <c r="H46" s="78">
        <v>1E+30</v>
      </c>
    </row>
    <row r="47" spans="2:8">
      <c r="B47" s="78" t="s">
        <v>163</v>
      </c>
      <c r="C47" s="78" t="s">
        <v>164</v>
      </c>
      <c r="D47" s="78">
        <v>0</v>
      </c>
      <c r="E47" s="78">
        <v>-4.3374665240007229</v>
      </c>
      <c r="F47" s="78">
        <v>-3.2567499999999541</v>
      </c>
      <c r="G47" s="78">
        <v>4.3374665240007229</v>
      </c>
      <c r="H47" s="78">
        <v>1E+30</v>
      </c>
    </row>
    <row r="48" spans="2:8">
      <c r="B48" s="78" t="s">
        <v>165</v>
      </c>
      <c r="C48" s="78" t="s">
        <v>166</v>
      </c>
      <c r="D48" s="78">
        <v>0</v>
      </c>
      <c r="E48" s="78">
        <v>0</v>
      </c>
      <c r="F48" s="78">
        <v>31.597500000000025</v>
      </c>
      <c r="G48" s="78">
        <v>26.819449499545431</v>
      </c>
      <c r="H48" s="78">
        <v>31.561540036396735</v>
      </c>
    </row>
    <row r="49" spans="2:8">
      <c r="B49" s="78" t="s">
        <v>167</v>
      </c>
      <c r="C49" s="78" t="s">
        <v>168</v>
      </c>
      <c r="D49" s="78">
        <v>94687.551890186543</v>
      </c>
      <c r="E49" s="78">
        <v>0</v>
      </c>
      <c r="F49" s="78">
        <v>24.087155555555569</v>
      </c>
      <c r="G49" s="78">
        <v>54.611679051663252</v>
      </c>
      <c r="H49" s="78">
        <v>5.4620564149107736E-2</v>
      </c>
    </row>
    <row r="50" spans="2:8">
      <c r="B50" s="78" t="s">
        <v>169</v>
      </c>
      <c r="C50" s="78" t="s">
        <v>170</v>
      </c>
      <c r="D50" s="78">
        <v>0</v>
      </c>
      <c r="E50" s="78">
        <v>-0.19517996177703043</v>
      </c>
      <c r="F50" s="78">
        <v>20.935422222222201</v>
      </c>
      <c r="G50" s="78">
        <v>0.19517996177703043</v>
      </c>
      <c r="H50" s="78">
        <v>1E+30</v>
      </c>
    </row>
    <row r="51" spans="2:8">
      <c r="B51" s="78" t="s">
        <v>171</v>
      </c>
      <c r="C51" s="78" t="s">
        <v>172</v>
      </c>
      <c r="D51" s="78">
        <v>0</v>
      </c>
      <c r="E51" s="78">
        <v>5.184826895230546E-2</v>
      </c>
      <c r="F51" s="78">
        <v>19.464444444444439</v>
      </c>
      <c r="G51" s="78">
        <v>5.184826895230546E-2</v>
      </c>
      <c r="H51" s="78">
        <v>1E+30</v>
      </c>
    </row>
    <row r="52" spans="2:8">
      <c r="B52" s="78" t="s">
        <v>173</v>
      </c>
      <c r="C52" s="78" t="s">
        <v>174</v>
      </c>
      <c r="D52" s="78">
        <v>0</v>
      </c>
      <c r="E52" s="78">
        <v>5.5445903940589833E-2</v>
      </c>
      <c r="F52" s="78">
        <v>25.654222222222188</v>
      </c>
      <c r="G52" s="78">
        <v>5.5445903940589833E-2</v>
      </c>
      <c r="H52" s="78">
        <v>1E+30</v>
      </c>
    </row>
    <row r="53" spans="2:8">
      <c r="B53" s="78" t="s">
        <v>175</v>
      </c>
      <c r="C53" s="78" t="s">
        <v>176</v>
      </c>
      <c r="D53" s="78">
        <v>15085.714285714288</v>
      </c>
      <c r="E53" s="78">
        <v>0</v>
      </c>
      <c r="F53" s="78">
        <v>51.459999999999923</v>
      </c>
      <c r="G53" s="78">
        <v>1E+30</v>
      </c>
      <c r="H53" s="78">
        <v>38.086409257262218</v>
      </c>
    </row>
    <row r="54" spans="2:8">
      <c r="B54" s="78" t="s">
        <v>177</v>
      </c>
      <c r="C54" s="78" t="s">
        <v>178</v>
      </c>
      <c r="D54" s="78">
        <v>94687.551890186558</v>
      </c>
      <c r="E54" s="78">
        <v>0</v>
      </c>
      <c r="F54" s="78">
        <v>0.37421805555550236</v>
      </c>
      <c r="G54" s="78">
        <v>54.611679051663444</v>
      </c>
      <c r="H54" s="78">
        <v>5.4620564149228841E-2</v>
      </c>
    </row>
    <row r="55" spans="2:8">
      <c r="B55" s="78" t="s">
        <v>179</v>
      </c>
      <c r="C55" s="78" t="s">
        <v>180</v>
      </c>
      <c r="D55" s="78">
        <v>0</v>
      </c>
      <c r="E55" s="78">
        <v>-0.19517996177692148</v>
      </c>
      <c r="F55" s="78">
        <v>-2.1435777777777503</v>
      </c>
      <c r="G55" s="78">
        <v>0.19517996177692148</v>
      </c>
      <c r="H55" s="78">
        <v>1E+30</v>
      </c>
    </row>
    <row r="56" spans="2:8">
      <c r="B56" s="78" t="s">
        <v>181</v>
      </c>
      <c r="C56" s="78" t="s">
        <v>182</v>
      </c>
      <c r="D56" s="78">
        <v>0</v>
      </c>
      <c r="E56" s="78">
        <v>5.1848268952408169E-2</v>
      </c>
      <c r="F56" s="78">
        <v>-3.0449305555555384</v>
      </c>
      <c r="G56" s="78">
        <v>5.1848268952408169E-2</v>
      </c>
      <c r="H56" s="78">
        <v>1E+30</v>
      </c>
    </row>
    <row r="57" spans="2:8">
      <c r="B57" s="78" t="s">
        <v>183</v>
      </c>
      <c r="C57" s="78" t="s">
        <v>184</v>
      </c>
      <c r="D57" s="78">
        <v>0</v>
      </c>
      <c r="E57" s="78">
        <v>5.5445903940712769E-2</v>
      </c>
      <c r="F57" s="78">
        <v>1.5829722222222244</v>
      </c>
      <c r="G57" s="78">
        <v>5.5445903940712769E-2</v>
      </c>
      <c r="H57" s="78">
        <v>1E+30</v>
      </c>
    </row>
    <row r="58" spans="2:8">
      <c r="B58" s="78" t="s">
        <v>185</v>
      </c>
      <c r="C58" s="78" t="s">
        <v>186</v>
      </c>
      <c r="D58" s="78">
        <v>15085.71428571429</v>
      </c>
      <c r="E58" s="78">
        <v>0</v>
      </c>
      <c r="F58" s="78">
        <v>34.922500000000014</v>
      </c>
      <c r="G58" s="78">
        <v>1E+30</v>
      </c>
      <c r="H58" s="78">
        <v>6.0877170486061116</v>
      </c>
    </row>
    <row r="59" spans="2:8">
      <c r="B59" s="78" t="s">
        <v>187</v>
      </c>
      <c r="C59" s="78" t="s">
        <v>188</v>
      </c>
      <c r="D59" s="78">
        <v>38735.816682349046</v>
      </c>
      <c r="E59" s="78">
        <v>0</v>
      </c>
      <c r="F59" s="78">
        <v>19.068544444444456</v>
      </c>
      <c r="G59" s="78">
        <v>54.611679051663423</v>
      </c>
      <c r="H59" s="78">
        <v>5.462056414923723E-2</v>
      </c>
    </row>
    <row r="60" spans="2:8">
      <c r="B60" s="78" t="s">
        <v>189</v>
      </c>
      <c r="C60" s="78" t="s">
        <v>190</v>
      </c>
      <c r="D60" s="78">
        <v>0</v>
      </c>
      <c r="E60" s="78">
        <v>-0.19517996177709437</v>
      </c>
      <c r="F60" s="78">
        <v>16.050977777777689</v>
      </c>
      <c r="G60" s="78">
        <v>0.19517996177709437</v>
      </c>
      <c r="H60" s="78">
        <v>1E+30</v>
      </c>
    </row>
    <row r="61" spans="2:8">
      <c r="B61" s="78" t="s">
        <v>191</v>
      </c>
      <c r="C61" s="78" t="s">
        <v>192</v>
      </c>
      <c r="D61" s="78">
        <v>0</v>
      </c>
      <c r="E61" s="78">
        <v>5.184826895228592E-2</v>
      </c>
      <c r="F61" s="78">
        <v>14.700555555555525</v>
      </c>
      <c r="G61" s="78">
        <v>5.184826895228592E-2</v>
      </c>
      <c r="H61" s="78">
        <v>1E+30</v>
      </c>
    </row>
    <row r="62" spans="2:8">
      <c r="B62" s="78" t="s">
        <v>193</v>
      </c>
      <c r="C62" s="78" t="s">
        <v>194</v>
      </c>
      <c r="D62" s="78">
        <v>0</v>
      </c>
      <c r="E62" s="78">
        <v>5.5445903940721283E-2</v>
      </c>
      <c r="F62" s="78">
        <v>20.559777777777867</v>
      </c>
      <c r="G62" s="78">
        <v>5.5445903940721283E-2</v>
      </c>
      <c r="H62" s="78">
        <v>1E+30</v>
      </c>
    </row>
    <row r="63" spans="2:8">
      <c r="B63" s="78" t="s">
        <v>195</v>
      </c>
      <c r="C63" s="78" t="s">
        <v>196</v>
      </c>
      <c r="D63" s="78">
        <v>6171.4285714285734</v>
      </c>
      <c r="E63" s="78">
        <v>0</v>
      </c>
      <c r="F63" s="78">
        <v>47.960000000000036</v>
      </c>
      <c r="G63" s="78">
        <v>1E+30</v>
      </c>
      <c r="H63" s="78">
        <v>38.086409257262332</v>
      </c>
    </row>
    <row r="64" spans="2:8">
      <c r="B64" s="78" t="s">
        <v>197</v>
      </c>
      <c r="C64" s="78" t="s">
        <v>198</v>
      </c>
      <c r="D64" s="78">
        <v>0</v>
      </c>
      <c r="E64" s="78">
        <v>-0.98178100602146112</v>
      </c>
      <c r="F64" s="78">
        <v>-1.3822958333333872</v>
      </c>
      <c r="G64" s="78">
        <v>0.98178100602146112</v>
      </c>
      <c r="H64" s="78">
        <v>1E+30</v>
      </c>
    </row>
    <row r="65" spans="2:8">
      <c r="B65" s="78" t="s">
        <v>199</v>
      </c>
      <c r="C65" s="78" t="s">
        <v>200</v>
      </c>
      <c r="D65" s="78">
        <v>0</v>
      </c>
      <c r="E65" s="78">
        <v>-1.1507142070794665</v>
      </c>
      <c r="F65" s="78">
        <v>-3.8531333333332896</v>
      </c>
      <c r="G65" s="78">
        <v>1.1507142070794665</v>
      </c>
      <c r="H65" s="78">
        <v>1E+30</v>
      </c>
    </row>
    <row r="66" spans="2:8">
      <c r="B66" s="78" t="s">
        <v>201</v>
      </c>
      <c r="C66" s="78" t="s">
        <v>202</v>
      </c>
      <c r="D66" s="78">
        <v>0</v>
      </c>
      <c r="E66" s="78">
        <v>-0.88010193048685836</v>
      </c>
      <c r="F66" s="78">
        <v>-4.7122916666667152</v>
      </c>
      <c r="G66" s="78">
        <v>0.88010193048685836</v>
      </c>
      <c r="H66" s="78">
        <v>1E+30</v>
      </c>
    </row>
    <row r="67" spans="2:8">
      <c r="B67" s="78" t="s">
        <v>203</v>
      </c>
      <c r="C67" s="78" t="s">
        <v>204</v>
      </c>
      <c r="D67" s="78">
        <v>0</v>
      </c>
      <c r="E67" s="78">
        <v>-0.94117022770442782</v>
      </c>
      <c r="F67" s="78">
        <v>-0.2000833333332821</v>
      </c>
      <c r="G67" s="78">
        <v>0.94117022770442782</v>
      </c>
      <c r="H67" s="78">
        <v>1E+30</v>
      </c>
    </row>
    <row r="68" spans="2:8">
      <c r="B68" s="78" t="s">
        <v>205</v>
      </c>
      <c r="C68" s="78" t="s">
        <v>206</v>
      </c>
      <c r="D68" s="78">
        <v>0</v>
      </c>
      <c r="E68" s="78">
        <v>0</v>
      </c>
      <c r="F68" s="78">
        <v>33.697499999999991</v>
      </c>
      <c r="G68" s="78">
        <v>5.8194494995457546</v>
      </c>
      <c r="H68" s="78">
        <v>33.661540036396701</v>
      </c>
    </row>
    <row r="69" spans="2:8">
      <c r="B69" s="78" t="s">
        <v>207</v>
      </c>
      <c r="C69" s="78" t="s">
        <v>208</v>
      </c>
      <c r="D69" s="78">
        <v>0</v>
      </c>
      <c r="E69" s="78">
        <v>-5.4620564149287711E-2</v>
      </c>
      <c r="F69" s="78">
        <v>25.843669444444458</v>
      </c>
      <c r="G69" s="78">
        <v>5.4620564149287711E-2</v>
      </c>
      <c r="H69" s="78">
        <v>1E+30</v>
      </c>
    </row>
    <row r="70" spans="2:8">
      <c r="B70" s="78" t="s">
        <v>209</v>
      </c>
      <c r="C70" s="78" t="s">
        <v>210</v>
      </c>
      <c r="D70" s="78">
        <v>0</v>
      </c>
      <c r="E70" s="78">
        <v>-0.24834030937216636</v>
      </c>
      <c r="F70" s="78">
        <v>22.64497777777774</v>
      </c>
      <c r="G70" s="78">
        <v>0.24834030937216636</v>
      </c>
      <c r="H70" s="78">
        <v>1E+30</v>
      </c>
    </row>
    <row r="71" spans="2:8">
      <c r="B71" s="78" t="s">
        <v>211</v>
      </c>
      <c r="C71" s="78" t="s">
        <v>212</v>
      </c>
      <c r="D71" s="78">
        <v>67627.44502723933</v>
      </c>
      <c r="E71" s="78">
        <v>0</v>
      </c>
      <c r="F71" s="78">
        <v>21.131805555555502</v>
      </c>
      <c r="G71" s="78">
        <v>2.6481300917142286E-14</v>
      </c>
      <c r="H71" s="78">
        <v>6.7967291710104266E-2</v>
      </c>
    </row>
    <row r="72" spans="2:8">
      <c r="B72" s="78" t="s">
        <v>213</v>
      </c>
      <c r="C72" s="78" t="s">
        <v>214</v>
      </c>
      <c r="D72" s="78">
        <v>30038.675996883587</v>
      </c>
      <c r="E72" s="78">
        <v>0</v>
      </c>
      <c r="F72" s="78">
        <v>27.437277777777922</v>
      </c>
      <c r="G72" s="78">
        <v>7.2683389502233964E-2</v>
      </c>
      <c r="H72" s="78">
        <v>2.8318778939964408E-14</v>
      </c>
    </row>
    <row r="73" spans="2:8">
      <c r="B73" s="78" t="s">
        <v>215</v>
      </c>
      <c r="C73" s="78" t="s">
        <v>216</v>
      </c>
      <c r="D73" s="78">
        <v>15085.71428571429</v>
      </c>
      <c r="E73" s="78">
        <v>0</v>
      </c>
      <c r="F73" s="78">
        <v>52.684999999999945</v>
      </c>
      <c r="G73" s="78">
        <v>1E+30</v>
      </c>
      <c r="H73" s="78">
        <v>38.04831665150143</v>
      </c>
    </row>
    <row r="74" spans="2:8">
      <c r="B74" s="78" t="s">
        <v>217</v>
      </c>
      <c r="C74" s="78" t="s">
        <v>218</v>
      </c>
      <c r="D74" s="78">
        <v>0</v>
      </c>
      <c r="E74" s="78">
        <v>-5.4620564149559916E-2</v>
      </c>
      <c r="F74" s="78">
        <v>1.1270097222221693</v>
      </c>
      <c r="G74" s="78">
        <v>5.4620564149559916E-2</v>
      </c>
      <c r="H74" s="78">
        <v>1E+30</v>
      </c>
    </row>
    <row r="75" spans="2:8">
      <c r="B75" s="78" t="s">
        <v>219</v>
      </c>
      <c r="C75" s="78" t="s">
        <v>220</v>
      </c>
      <c r="D75" s="78">
        <v>0</v>
      </c>
      <c r="E75" s="78">
        <v>-0.24834030937229418</v>
      </c>
      <c r="F75" s="78">
        <v>-1.4109111111110906</v>
      </c>
      <c r="G75" s="78">
        <v>0.24834030937229418</v>
      </c>
      <c r="H75" s="78">
        <v>1E+30</v>
      </c>
    </row>
    <row r="76" spans="2:8">
      <c r="B76" s="78" t="s">
        <v>221</v>
      </c>
      <c r="C76" s="78" t="s">
        <v>222</v>
      </c>
      <c r="D76" s="78">
        <v>99750.437317784235</v>
      </c>
      <c r="E76" s="78">
        <v>0</v>
      </c>
      <c r="F76" s="78">
        <v>-2.3303472222221444</v>
      </c>
      <c r="G76" s="78">
        <v>51.787986553432432</v>
      </c>
      <c r="H76" s="78">
        <v>3.5911598407372848E-13</v>
      </c>
    </row>
    <row r="77" spans="2:8">
      <c r="B77" s="78" t="s">
        <v>223</v>
      </c>
      <c r="C77" s="78" t="s">
        <v>224</v>
      </c>
      <c r="D77" s="78">
        <v>0</v>
      </c>
      <c r="E77" s="78">
        <v>-3.8403423602986478E-13</v>
      </c>
      <c r="F77" s="78">
        <v>2.3471388888888214</v>
      </c>
      <c r="G77" s="78">
        <v>3.8403423602986478E-13</v>
      </c>
      <c r="H77" s="78">
        <v>1E+30</v>
      </c>
    </row>
    <row r="78" spans="2:8">
      <c r="B78" s="78" t="s">
        <v>225</v>
      </c>
      <c r="C78" s="78" t="s">
        <v>226</v>
      </c>
      <c r="D78" s="78">
        <v>15085.714285714288</v>
      </c>
      <c r="E78" s="78">
        <v>0</v>
      </c>
      <c r="F78" s="78">
        <v>35.447499999999991</v>
      </c>
      <c r="G78" s="78">
        <v>1E+30</v>
      </c>
      <c r="H78" s="78">
        <v>11.680550500455215</v>
      </c>
    </row>
    <row r="79" spans="2:8">
      <c r="B79" s="78" t="s">
        <v>227</v>
      </c>
      <c r="C79" s="78" t="s">
        <v>228</v>
      </c>
      <c r="D79" s="78">
        <v>0</v>
      </c>
      <c r="E79" s="78">
        <v>-5.4620564149576584E-2</v>
      </c>
      <c r="F79" s="78">
        <v>19.444940277777732</v>
      </c>
      <c r="G79" s="78">
        <v>5.4620564149576584E-2</v>
      </c>
      <c r="H79" s="78">
        <v>1E+30</v>
      </c>
    </row>
    <row r="80" spans="2:8">
      <c r="B80" s="78" t="s">
        <v>229</v>
      </c>
      <c r="C80" s="78" t="s">
        <v>230</v>
      </c>
      <c r="D80" s="78">
        <v>0</v>
      </c>
      <c r="E80" s="78">
        <v>-0.24834030937237794</v>
      </c>
      <c r="F80" s="78">
        <v>16.417311111111076</v>
      </c>
      <c r="G80" s="78">
        <v>0.24834030937237794</v>
      </c>
      <c r="H80" s="78">
        <v>1E+30</v>
      </c>
    </row>
    <row r="81" spans="2:8">
      <c r="B81" s="78" t="s">
        <v>231</v>
      </c>
      <c r="C81" s="78" t="s">
        <v>232</v>
      </c>
      <c r="D81" s="78">
        <v>36272.886297376084</v>
      </c>
      <c r="E81" s="78">
        <v>0</v>
      </c>
      <c r="F81" s="78">
        <v>15.057847222222335</v>
      </c>
      <c r="G81" s="78">
        <v>51.787986553432226</v>
      </c>
      <c r="H81" s="78">
        <v>2.8607612874380043E-13</v>
      </c>
    </row>
    <row r="82" spans="2:8">
      <c r="B82" s="78" t="s">
        <v>233</v>
      </c>
      <c r="C82" s="78" t="s">
        <v>234</v>
      </c>
      <c r="D82" s="78">
        <v>0</v>
      </c>
      <c r="E82" s="78">
        <v>-3.0592630910561521E-13</v>
      </c>
      <c r="F82" s="78">
        <v>20.941861111111166</v>
      </c>
      <c r="G82" s="78">
        <v>3.0592630910561521E-13</v>
      </c>
      <c r="H82" s="78">
        <v>1E+30</v>
      </c>
    </row>
    <row r="83" spans="2:8">
      <c r="B83" s="78" t="s">
        <v>235</v>
      </c>
      <c r="C83" s="78" t="s">
        <v>236</v>
      </c>
      <c r="D83" s="78">
        <v>5485.7142857142871</v>
      </c>
      <c r="E83" s="78">
        <v>0</v>
      </c>
      <c r="F83" s="78">
        <v>48.222499999999854</v>
      </c>
      <c r="G83" s="78">
        <v>1E+30</v>
      </c>
      <c r="H83" s="78">
        <v>38.048316651501175</v>
      </c>
    </row>
    <row r="84" spans="2:8">
      <c r="B84" s="78" t="s">
        <v>237</v>
      </c>
      <c r="C84" s="78" t="s">
        <v>238</v>
      </c>
      <c r="D84" s="78">
        <v>0</v>
      </c>
      <c r="E84" s="78">
        <v>-0.5635634134289369</v>
      </c>
      <c r="F84" s="78">
        <v>-1.0059000000001106</v>
      </c>
      <c r="G84" s="78">
        <v>0.5635634134289369</v>
      </c>
      <c r="H84" s="78">
        <v>1E+30</v>
      </c>
    </row>
    <row r="85" spans="2:8">
      <c r="B85" s="78" t="s">
        <v>239</v>
      </c>
      <c r="C85" s="78" t="s">
        <v>240</v>
      </c>
      <c r="D85" s="78">
        <v>0</v>
      </c>
      <c r="E85" s="78">
        <v>-0.74367717004236411</v>
      </c>
      <c r="F85" s="78">
        <v>-3.4867999999999029</v>
      </c>
      <c r="G85" s="78">
        <v>0.74367717004236411</v>
      </c>
      <c r="H85" s="78">
        <v>1E+30</v>
      </c>
    </row>
    <row r="86" spans="2:8">
      <c r="B86" s="78" t="s">
        <v>241</v>
      </c>
      <c r="C86" s="78" t="s">
        <v>242</v>
      </c>
      <c r="D86" s="78">
        <v>0</v>
      </c>
      <c r="E86" s="78">
        <v>-0.48311118974605888</v>
      </c>
      <c r="F86" s="78">
        <v>-4.3550000000000182</v>
      </c>
      <c r="G86" s="78">
        <v>0.48311118974605888</v>
      </c>
      <c r="H86" s="78">
        <v>1E+30</v>
      </c>
    </row>
    <row r="87" spans="2:8">
      <c r="B87" s="78" t="s">
        <v>243</v>
      </c>
      <c r="C87" s="78" t="s">
        <v>244</v>
      </c>
      <c r="D87" s="78">
        <v>0</v>
      </c>
      <c r="E87" s="78">
        <v>-0.51663319066741309</v>
      </c>
      <c r="F87" s="78">
        <v>0.18200000000001637</v>
      </c>
      <c r="G87" s="78">
        <v>0.51663319066741309</v>
      </c>
      <c r="H87" s="78">
        <v>1E+30</v>
      </c>
    </row>
    <row r="88" spans="2:8">
      <c r="B88" s="78" t="s">
        <v>245</v>
      </c>
      <c r="C88" s="78" t="s">
        <v>246</v>
      </c>
      <c r="D88" s="78">
        <v>0</v>
      </c>
      <c r="E88" s="78">
        <v>0</v>
      </c>
      <c r="F88" s="78">
        <v>33.960000000000036</v>
      </c>
      <c r="G88" s="78">
        <v>3.1944494995453678</v>
      </c>
      <c r="H88" s="78">
        <v>33.924040036396761</v>
      </c>
    </row>
    <row r="89" spans="2:8">
      <c r="B89" s="78" t="s">
        <v>247</v>
      </c>
      <c r="C89" s="78" t="s">
        <v>248</v>
      </c>
      <c r="D89" s="78">
        <v>0</v>
      </c>
      <c r="E89" s="78">
        <v>-5.4620564149372303E-2</v>
      </c>
      <c r="F89" s="78">
        <v>39.268454166666743</v>
      </c>
      <c r="G89" s="78">
        <v>5.4620564149372303E-2</v>
      </c>
      <c r="H89" s="78">
        <v>1E+30</v>
      </c>
    </row>
    <row r="90" spans="2:8">
      <c r="B90" s="78" t="s">
        <v>249</v>
      </c>
      <c r="C90" s="78" t="s">
        <v>250</v>
      </c>
      <c r="D90" s="78">
        <v>0</v>
      </c>
      <c r="E90" s="78">
        <v>-0.2483403093723664</v>
      </c>
      <c r="F90" s="78">
        <v>35.710866666666561</v>
      </c>
      <c r="G90" s="78">
        <v>0.2483403093723664</v>
      </c>
      <c r="H90" s="78">
        <v>1E+30</v>
      </c>
    </row>
    <row r="91" spans="2:8">
      <c r="B91" s="78" t="s">
        <v>251</v>
      </c>
      <c r="C91" s="78" t="s">
        <v>252</v>
      </c>
      <c r="D91" s="78">
        <v>95216.326530612219</v>
      </c>
      <c r="E91" s="78">
        <v>0</v>
      </c>
      <c r="F91" s="78">
        <v>33.875208333333376</v>
      </c>
      <c r="G91" s="78">
        <v>51.787986553432383</v>
      </c>
      <c r="H91" s="78">
        <v>2.3624321740948046E-13</v>
      </c>
    </row>
    <row r="92" spans="2:8">
      <c r="B92" s="78" t="s">
        <v>253</v>
      </c>
      <c r="C92" s="78" t="s">
        <v>254</v>
      </c>
      <c r="D92" s="78">
        <v>0</v>
      </c>
      <c r="E92" s="78">
        <v>-2.526356039236077E-13</v>
      </c>
      <c r="F92" s="78">
        <v>41.064916666666704</v>
      </c>
      <c r="G92" s="78">
        <v>2.526356039236077E-13</v>
      </c>
      <c r="H92" s="78">
        <v>1E+30</v>
      </c>
    </row>
    <row r="93" spans="2:8">
      <c r="B93" s="78" t="s">
        <v>255</v>
      </c>
      <c r="C93" s="78" t="s">
        <v>256</v>
      </c>
      <c r="D93" s="78">
        <v>14400.000000000004</v>
      </c>
      <c r="E93" s="78">
        <v>0</v>
      </c>
      <c r="F93" s="78">
        <v>62.0474999999999</v>
      </c>
      <c r="G93" s="78">
        <v>1E+30</v>
      </c>
      <c r="H93" s="78">
        <v>38.048316651501288</v>
      </c>
    </row>
    <row r="94" spans="2:8">
      <c r="B94" s="78" t="s">
        <v>257</v>
      </c>
      <c r="C94" s="78" t="s">
        <v>258</v>
      </c>
      <c r="D94" s="78">
        <v>0</v>
      </c>
      <c r="E94" s="78">
        <v>-5.4620564149239853E-2</v>
      </c>
      <c r="F94" s="78">
        <v>9.156787500000064</v>
      </c>
      <c r="G94" s="78">
        <v>5.4620564149239853E-2</v>
      </c>
      <c r="H94" s="78">
        <v>1E+30</v>
      </c>
    </row>
    <row r="95" spans="2:8">
      <c r="B95" s="78" t="s">
        <v>259</v>
      </c>
      <c r="C95" s="78" t="s">
        <v>260</v>
      </c>
      <c r="D95" s="78">
        <v>0</v>
      </c>
      <c r="E95" s="78">
        <v>-0.24834030937217225</v>
      </c>
      <c r="F95" s="78">
        <v>6.4041999999999462</v>
      </c>
      <c r="G95" s="78">
        <v>0.24834030937217225</v>
      </c>
      <c r="H95" s="78">
        <v>1E+30</v>
      </c>
    </row>
    <row r="96" spans="2:8">
      <c r="B96" s="78" t="s">
        <v>261</v>
      </c>
      <c r="C96" s="78" t="s">
        <v>262</v>
      </c>
      <c r="D96" s="78">
        <v>95216.326530612219</v>
      </c>
      <c r="E96" s="78">
        <v>0</v>
      </c>
      <c r="F96" s="78">
        <v>5.2918749999998909</v>
      </c>
      <c r="G96" s="78">
        <v>51.787986553432525</v>
      </c>
      <c r="H96" s="78">
        <v>2.6481300917142503E-14</v>
      </c>
    </row>
    <row r="97" spans="1:8">
      <c r="B97" s="78" t="s">
        <v>263</v>
      </c>
      <c r="C97" s="78" t="s">
        <v>264</v>
      </c>
      <c r="D97" s="78">
        <v>0</v>
      </c>
      <c r="E97" s="78">
        <v>-2.8318778939964648E-14</v>
      </c>
      <c r="F97" s="78">
        <v>10.498250000000098</v>
      </c>
      <c r="G97" s="78">
        <v>2.8318778939964648E-14</v>
      </c>
      <c r="H97" s="78">
        <v>1E+30</v>
      </c>
    </row>
    <row r="98" spans="1:8">
      <c r="B98" s="78" t="s">
        <v>265</v>
      </c>
      <c r="C98" s="78" t="s">
        <v>266</v>
      </c>
      <c r="D98" s="78">
        <v>14399.999999999998</v>
      </c>
      <c r="E98" s="78">
        <v>0</v>
      </c>
      <c r="F98" s="78">
        <v>41.0474999999999</v>
      </c>
      <c r="G98" s="78">
        <v>1E+30</v>
      </c>
      <c r="H98" s="78">
        <v>38.048316651501381</v>
      </c>
    </row>
    <row r="99" spans="1:8">
      <c r="B99" s="78" t="s">
        <v>267</v>
      </c>
      <c r="C99" s="78" t="s">
        <v>268</v>
      </c>
      <c r="D99" s="78">
        <v>0</v>
      </c>
      <c r="E99" s="78">
        <v>-5.462056414919754E-2</v>
      </c>
      <c r="F99" s="78">
        <v>26.72192638888896</v>
      </c>
      <c r="G99" s="78">
        <v>5.462056414919754E-2</v>
      </c>
      <c r="H99" s="78">
        <v>1E+30</v>
      </c>
    </row>
    <row r="100" spans="1:8">
      <c r="B100" s="78" t="s">
        <v>269</v>
      </c>
      <c r="C100" s="78" t="s">
        <v>270</v>
      </c>
      <c r="D100" s="78">
        <v>0</v>
      </c>
      <c r="E100" s="78">
        <v>-0.24834030937207335</v>
      </c>
      <c r="F100" s="78">
        <v>23.499755555555566</v>
      </c>
      <c r="G100" s="78">
        <v>0.24834030937207335</v>
      </c>
      <c r="H100" s="78">
        <v>1E+30</v>
      </c>
    </row>
    <row r="101" spans="1:8">
      <c r="B101" s="78" t="s">
        <v>271</v>
      </c>
      <c r="C101" s="78" t="s">
        <v>272</v>
      </c>
      <c r="D101" s="78">
        <v>45341.107871720109</v>
      </c>
      <c r="E101" s="78">
        <v>0</v>
      </c>
      <c r="F101" s="78">
        <v>21.965486111110977</v>
      </c>
      <c r="G101" s="78">
        <v>51.787986553432866</v>
      </c>
      <c r="H101" s="78">
        <v>3.0474821024850814E-14</v>
      </c>
    </row>
    <row r="102" spans="1:8">
      <c r="B102" s="78" t="s">
        <v>273</v>
      </c>
      <c r="C102" s="78" t="s">
        <v>274</v>
      </c>
      <c r="D102" s="78">
        <v>0</v>
      </c>
      <c r="E102" s="78">
        <v>-3.2589400442901693E-14</v>
      </c>
      <c r="F102" s="78">
        <v>28.328805555555618</v>
      </c>
      <c r="G102" s="78">
        <v>3.2589400442901693E-14</v>
      </c>
      <c r="H102" s="78">
        <v>1E+30</v>
      </c>
    </row>
    <row r="103" spans="1:8">
      <c r="B103" s="78" t="s">
        <v>275</v>
      </c>
      <c r="C103" s="78" t="s">
        <v>276</v>
      </c>
      <c r="D103" s="78">
        <v>6857.1428571428587</v>
      </c>
      <c r="E103" s="78">
        <v>0</v>
      </c>
      <c r="F103" s="78">
        <v>53.297500000000127</v>
      </c>
      <c r="G103" s="78">
        <v>1E+30</v>
      </c>
      <c r="H103" s="78">
        <v>38.048316651501644</v>
      </c>
    </row>
    <row r="104" spans="1:8">
      <c r="B104" s="78" t="s">
        <v>277</v>
      </c>
      <c r="C104" s="78" t="s">
        <v>278</v>
      </c>
      <c r="D104" s="78">
        <v>0</v>
      </c>
      <c r="E104" s="78">
        <v>-5.4620564149223089E-2</v>
      </c>
      <c r="F104" s="78">
        <v>5.1418986111111735</v>
      </c>
      <c r="G104" s="78">
        <v>5.4620564149223089E-2</v>
      </c>
      <c r="H104" s="78">
        <v>1E+30</v>
      </c>
    </row>
    <row r="105" spans="1:8">
      <c r="B105" s="78" t="s">
        <v>279</v>
      </c>
      <c r="C105" s="78" t="s">
        <v>280</v>
      </c>
      <c r="D105" s="78">
        <v>0</v>
      </c>
      <c r="E105" s="78">
        <v>-0.24834030937211787</v>
      </c>
      <c r="F105" s="78">
        <v>2.4966444444444278</v>
      </c>
      <c r="G105" s="78">
        <v>0.24834030937211787</v>
      </c>
      <c r="H105" s="78">
        <v>1E+30</v>
      </c>
    </row>
    <row r="106" spans="1:8">
      <c r="B106" s="78" t="s">
        <v>281</v>
      </c>
      <c r="C106" s="78" t="s">
        <v>282</v>
      </c>
      <c r="D106" s="78">
        <v>45341.107871720109</v>
      </c>
      <c r="E106" s="78">
        <v>0</v>
      </c>
      <c r="F106" s="78">
        <v>1.4807638888887595</v>
      </c>
      <c r="G106" s="78">
        <v>51.787986553432894</v>
      </c>
      <c r="H106" s="78">
        <v>8.2750963298812166E-14</v>
      </c>
    </row>
    <row r="107" spans="1:8">
      <c r="B107" s="78" t="s">
        <v>283</v>
      </c>
      <c r="C107" s="78" t="s">
        <v>284</v>
      </c>
      <c r="D107" s="78">
        <v>0</v>
      </c>
      <c r="E107" s="78">
        <v>-8.8492866874648126E-14</v>
      </c>
      <c r="F107" s="78">
        <v>6.4226944444444598</v>
      </c>
      <c r="G107" s="78">
        <v>8.8492866874648126E-14</v>
      </c>
      <c r="H107" s="78">
        <v>1E+30</v>
      </c>
    </row>
    <row r="108" spans="1:8" ht="15.95" thickBot="1">
      <c r="B108" s="79" t="s">
        <v>285</v>
      </c>
      <c r="C108" s="79" t="s">
        <v>286</v>
      </c>
      <c r="D108" s="79">
        <v>6857.1428571428587</v>
      </c>
      <c r="E108" s="79">
        <v>0</v>
      </c>
      <c r="F108" s="79">
        <v>38.247500000000173</v>
      </c>
      <c r="G108" s="79">
        <v>1E+30</v>
      </c>
      <c r="H108" s="79">
        <v>38.048316651501665</v>
      </c>
    </row>
    <row r="110" spans="1:8" ht="15.95" thickBot="1">
      <c r="A110" t="s">
        <v>287</v>
      </c>
    </row>
    <row r="111" spans="1:8">
      <c r="B111" s="51"/>
      <c r="C111" s="51"/>
      <c r="D111" s="51" t="s">
        <v>77</v>
      </c>
      <c r="E111" s="51" t="s">
        <v>288</v>
      </c>
      <c r="F111" s="51" t="s">
        <v>289</v>
      </c>
      <c r="G111" s="51" t="s">
        <v>80</v>
      </c>
      <c r="H111" s="51" t="s">
        <v>80</v>
      </c>
    </row>
    <row r="112" spans="1:8" ht="15.95" thickBot="1">
      <c r="B112" s="52" t="s">
        <v>81</v>
      </c>
      <c r="C112" s="52" t="s">
        <v>82</v>
      </c>
      <c r="D112" s="52" t="s">
        <v>48</v>
      </c>
      <c r="E112" s="52" t="s">
        <v>290</v>
      </c>
      <c r="F112" s="52" t="s">
        <v>291</v>
      </c>
      <c r="G112" s="52" t="s">
        <v>85</v>
      </c>
      <c r="H112" s="52" t="s">
        <v>86</v>
      </c>
    </row>
    <row r="113" spans="2:8">
      <c r="B113" s="78" t="s">
        <v>292</v>
      </c>
      <c r="C113" s="78" t="s">
        <v>293</v>
      </c>
      <c r="D113" s="78">
        <v>490653.6779764212</v>
      </c>
      <c r="E113" s="78">
        <v>0</v>
      </c>
      <c r="F113" s="78">
        <v>600000</v>
      </c>
      <c r="G113" s="78">
        <v>1E+30</v>
      </c>
      <c r="H113" s="78">
        <v>109346.32202357877</v>
      </c>
    </row>
    <row r="114" spans="2:8">
      <c r="B114" s="78" t="s">
        <v>294</v>
      </c>
      <c r="C114" s="78" t="s">
        <v>295</v>
      </c>
      <c r="D114" s="78">
        <v>264000</v>
      </c>
      <c r="E114" s="78">
        <v>8.1478695456346486</v>
      </c>
      <c r="F114" s="78">
        <v>264000</v>
      </c>
      <c r="G114" s="78">
        <v>81576.392870566153</v>
      </c>
      <c r="H114" s="78">
        <v>171740.01022309836</v>
      </c>
    </row>
    <row r="115" spans="2:8">
      <c r="B115" s="78" t="s">
        <v>296</v>
      </c>
      <c r="C115" s="78" t="s">
        <v>297</v>
      </c>
      <c r="D115" s="78">
        <v>0</v>
      </c>
      <c r="E115" s="78">
        <v>0</v>
      </c>
      <c r="F115" s="78">
        <v>264000</v>
      </c>
      <c r="G115" s="78">
        <v>1E+30</v>
      </c>
      <c r="H115" s="78">
        <v>264000</v>
      </c>
    </row>
    <row r="116" spans="2:8">
      <c r="B116" s="78" t="s">
        <v>298</v>
      </c>
      <c r="C116" s="78" t="s">
        <v>299</v>
      </c>
      <c r="D116" s="78">
        <v>96000.000000000015</v>
      </c>
      <c r="E116" s="78">
        <v>5.6478695456346459</v>
      </c>
      <c r="F116" s="78">
        <v>96000</v>
      </c>
      <c r="G116" s="78">
        <v>81576.392870566197</v>
      </c>
      <c r="H116" s="78">
        <v>96000</v>
      </c>
    </row>
    <row r="117" spans="2:8">
      <c r="B117" s="78" t="s">
        <v>300</v>
      </c>
      <c r="C117" s="78" t="s">
        <v>301</v>
      </c>
      <c r="D117" s="78">
        <v>0</v>
      </c>
      <c r="E117" s="78">
        <v>0</v>
      </c>
      <c r="F117" s="78">
        <v>96000</v>
      </c>
      <c r="G117" s="78">
        <v>1E+30</v>
      </c>
      <c r="H117" s="78">
        <v>96000</v>
      </c>
    </row>
    <row r="118" spans="2:8">
      <c r="B118" s="78" t="s">
        <v>302</v>
      </c>
      <c r="C118" s="78" t="s">
        <v>303</v>
      </c>
      <c r="D118" s="78">
        <v>264000</v>
      </c>
      <c r="E118" s="78">
        <v>8.4978695456346589</v>
      </c>
      <c r="F118" s="78">
        <v>264000</v>
      </c>
      <c r="G118" s="78">
        <v>81576.392870566153</v>
      </c>
      <c r="H118" s="78">
        <v>171740.01022309836</v>
      </c>
    </row>
    <row r="119" spans="2:8">
      <c r="B119" s="78" t="s">
        <v>304</v>
      </c>
      <c r="C119" s="78" t="s">
        <v>305</v>
      </c>
      <c r="D119" s="78">
        <v>0</v>
      </c>
      <c r="E119" s="78">
        <v>0</v>
      </c>
      <c r="F119" s="78">
        <v>264000</v>
      </c>
      <c r="G119" s="78">
        <v>1E+30</v>
      </c>
      <c r="H119" s="78">
        <v>264000</v>
      </c>
    </row>
    <row r="120" spans="2:8">
      <c r="B120" s="78" t="s">
        <v>306</v>
      </c>
      <c r="C120" s="78" t="s">
        <v>307</v>
      </c>
      <c r="D120" s="78">
        <v>108000.00000000003</v>
      </c>
      <c r="E120" s="78">
        <v>6.4478695456346395</v>
      </c>
      <c r="F120" s="78">
        <v>108000</v>
      </c>
      <c r="G120" s="78">
        <v>81576.392870566153</v>
      </c>
      <c r="H120" s="78">
        <v>108000</v>
      </c>
    </row>
    <row r="121" spans="2:8">
      <c r="B121" s="78" t="s">
        <v>308</v>
      </c>
      <c r="C121" s="78" t="s">
        <v>309</v>
      </c>
      <c r="D121" s="78">
        <v>0</v>
      </c>
      <c r="E121" s="78">
        <v>0</v>
      </c>
      <c r="F121" s="78">
        <v>108000</v>
      </c>
      <c r="G121" s="78">
        <v>1E+30</v>
      </c>
      <c r="H121" s="78">
        <v>108000</v>
      </c>
    </row>
    <row r="122" spans="2:8">
      <c r="B122" s="78" t="s">
        <v>310</v>
      </c>
      <c r="C122" s="78" t="s">
        <v>311</v>
      </c>
      <c r="D122" s="78">
        <v>264000</v>
      </c>
      <c r="E122" s="78">
        <v>9.7978695456346578</v>
      </c>
      <c r="F122" s="78">
        <v>264000</v>
      </c>
      <c r="G122" s="78">
        <v>81576.392870566226</v>
      </c>
      <c r="H122" s="78">
        <v>171740.01022309848</v>
      </c>
    </row>
    <row r="123" spans="2:8">
      <c r="B123" s="78" t="s">
        <v>312</v>
      </c>
      <c r="C123" s="78" t="s">
        <v>313</v>
      </c>
      <c r="D123" s="78">
        <v>264000.00000000006</v>
      </c>
      <c r="E123" s="78">
        <v>0.34786954563463501</v>
      </c>
      <c r="F123" s="78">
        <v>264000</v>
      </c>
      <c r="G123" s="78">
        <v>81576.392870566226</v>
      </c>
      <c r="H123" s="78">
        <v>171740.01022309848</v>
      </c>
    </row>
    <row r="124" spans="2:8">
      <c r="B124" s="78" t="s">
        <v>314</v>
      </c>
      <c r="C124" s="78" t="s">
        <v>315</v>
      </c>
      <c r="D124" s="78">
        <v>108000.00000000003</v>
      </c>
      <c r="E124" s="78">
        <v>7.7978695456346623</v>
      </c>
      <c r="F124" s="78">
        <v>108000</v>
      </c>
      <c r="G124" s="78">
        <v>81576.392870566226</v>
      </c>
      <c r="H124" s="78">
        <v>108000.00000000001</v>
      </c>
    </row>
    <row r="125" spans="2:8">
      <c r="B125" s="78" t="s">
        <v>316</v>
      </c>
      <c r="C125" s="78" t="s">
        <v>317</v>
      </c>
      <c r="D125" s="78">
        <v>0</v>
      </c>
      <c r="E125" s="78">
        <v>0</v>
      </c>
      <c r="F125" s="78">
        <v>108000</v>
      </c>
      <c r="G125" s="78">
        <v>1E+30</v>
      </c>
      <c r="H125" s="78">
        <v>108000</v>
      </c>
    </row>
    <row r="126" spans="2:8">
      <c r="B126" s="78" t="s">
        <v>318</v>
      </c>
      <c r="C126" s="78" t="s">
        <v>319</v>
      </c>
      <c r="D126" s="78">
        <v>263999.99999999994</v>
      </c>
      <c r="E126" s="78">
        <v>10.517460028597373</v>
      </c>
      <c r="F126" s="78">
        <v>264000</v>
      </c>
      <c r="G126" s="78">
        <v>304356.22237775946</v>
      </c>
      <c r="H126" s="78">
        <v>139903.42519806681</v>
      </c>
    </row>
    <row r="127" spans="2:8">
      <c r="B127" s="78" t="s">
        <v>320</v>
      </c>
      <c r="C127" s="78" t="s">
        <v>321</v>
      </c>
      <c r="D127" s="78">
        <v>263999.99999999994</v>
      </c>
      <c r="E127" s="78">
        <v>0.66746002859744102</v>
      </c>
      <c r="F127" s="78">
        <v>264000</v>
      </c>
      <c r="G127" s="78">
        <v>304356.22237776953</v>
      </c>
      <c r="H127" s="78">
        <v>264000</v>
      </c>
    </row>
    <row r="128" spans="2:8">
      <c r="B128" s="78" t="s">
        <v>322</v>
      </c>
      <c r="C128" s="78" t="s">
        <v>323</v>
      </c>
      <c r="D128" s="78">
        <v>95999.999999999985</v>
      </c>
      <c r="E128" s="78">
        <v>7.9674600285974435</v>
      </c>
      <c r="F128" s="78">
        <v>96000</v>
      </c>
      <c r="G128" s="78">
        <v>304356.2223777693</v>
      </c>
      <c r="H128" s="78">
        <v>96000</v>
      </c>
    </row>
    <row r="129" spans="2:8">
      <c r="B129" s="78" t="s">
        <v>324</v>
      </c>
      <c r="C129" s="78" t="s">
        <v>325</v>
      </c>
      <c r="D129" s="78">
        <v>0</v>
      </c>
      <c r="E129" s="78">
        <v>0</v>
      </c>
      <c r="F129" s="78">
        <v>96000</v>
      </c>
      <c r="G129" s="78">
        <v>1E+30</v>
      </c>
      <c r="H129" s="78">
        <v>96000</v>
      </c>
    </row>
    <row r="130" spans="2:8">
      <c r="B130" s="78" t="s">
        <v>326</v>
      </c>
      <c r="C130" s="78" t="s">
        <v>327</v>
      </c>
      <c r="D130" s="78">
        <v>251999.99999999994</v>
      </c>
      <c r="E130" s="78">
        <v>15.867460028597419</v>
      </c>
      <c r="F130" s="78">
        <v>252000</v>
      </c>
      <c r="G130" s="78">
        <v>304356.2223777693</v>
      </c>
      <c r="H130" s="78">
        <v>252000</v>
      </c>
    </row>
    <row r="131" spans="2:8">
      <c r="B131" s="78" t="s">
        <v>328</v>
      </c>
      <c r="C131" s="78" t="s">
        <v>329</v>
      </c>
      <c r="D131" s="78">
        <v>251999.99999999994</v>
      </c>
      <c r="E131" s="78">
        <v>3.8674600285973639</v>
      </c>
      <c r="F131" s="78">
        <v>252000</v>
      </c>
      <c r="G131" s="78">
        <v>304356.22237776953</v>
      </c>
      <c r="H131" s="78">
        <v>251999.99999999997</v>
      </c>
    </row>
    <row r="132" spans="2:8">
      <c r="B132" s="78" t="s">
        <v>330</v>
      </c>
      <c r="C132" s="78" t="s">
        <v>331</v>
      </c>
      <c r="D132" s="78">
        <v>119999.99999999997</v>
      </c>
      <c r="E132" s="78">
        <v>10.867460028597366</v>
      </c>
      <c r="F132" s="78">
        <v>120000</v>
      </c>
      <c r="G132" s="78">
        <v>304356.22237776913</v>
      </c>
      <c r="H132" s="78">
        <v>120000</v>
      </c>
    </row>
    <row r="133" spans="2:8">
      <c r="B133" s="78" t="s">
        <v>332</v>
      </c>
      <c r="C133" s="78" t="s">
        <v>333</v>
      </c>
      <c r="D133" s="78">
        <v>119999.99999999997</v>
      </c>
      <c r="E133" s="78">
        <v>2.2674600285973727</v>
      </c>
      <c r="F133" s="78">
        <v>120000</v>
      </c>
      <c r="G133" s="78">
        <v>304356.22237776953</v>
      </c>
      <c r="H133" s="78">
        <v>120000</v>
      </c>
    </row>
    <row r="134" spans="2:8">
      <c r="B134" s="78" t="s">
        <v>334</v>
      </c>
      <c r="C134" s="78" t="s">
        <v>335</v>
      </c>
      <c r="D134" s="78">
        <v>9000.00000000002</v>
      </c>
      <c r="E134" s="78">
        <v>359.59963603277339</v>
      </c>
      <c r="F134" s="78">
        <v>9000</v>
      </c>
      <c r="G134" s="78">
        <v>851.02170326262149</v>
      </c>
      <c r="H134" s="78">
        <v>404.23475412948841</v>
      </c>
    </row>
    <row r="135" spans="2:8">
      <c r="B135" s="78" t="s">
        <v>336</v>
      </c>
      <c r="C135" s="78" t="s">
        <v>337</v>
      </c>
      <c r="D135" s="78">
        <v>0</v>
      </c>
      <c r="E135" s="78">
        <v>21.763662432721326</v>
      </c>
      <c r="F135" s="78">
        <v>0</v>
      </c>
      <c r="G135" s="78">
        <v>156369.20979303675</v>
      </c>
      <c r="H135" s="78">
        <v>26400.000000000007</v>
      </c>
    </row>
    <row r="136" spans="2:8">
      <c r="B136" s="78" t="s">
        <v>338</v>
      </c>
      <c r="C136" s="78" t="s">
        <v>339</v>
      </c>
      <c r="D136" s="78">
        <v>0</v>
      </c>
      <c r="E136" s="78">
        <v>20.816850816759814</v>
      </c>
      <c r="F136" s="78">
        <v>0</v>
      </c>
      <c r="G136" s="78">
        <v>237600.00000000026</v>
      </c>
      <c r="H136" s="78">
        <v>0</v>
      </c>
    </row>
    <row r="137" spans="2:8">
      <c r="B137" s="78" t="s">
        <v>340</v>
      </c>
      <c r="C137" s="78" t="s">
        <v>341</v>
      </c>
      <c r="D137" s="78">
        <v>0</v>
      </c>
      <c r="E137" s="78">
        <v>21.763662432721322</v>
      </c>
      <c r="F137" s="78">
        <v>0</v>
      </c>
      <c r="G137" s="78">
        <v>86400.000000000102</v>
      </c>
      <c r="H137" s="78">
        <v>9600.0000000000018</v>
      </c>
    </row>
    <row r="138" spans="2:8">
      <c r="B138" s="78" t="s">
        <v>342</v>
      </c>
      <c r="C138" s="78" t="s">
        <v>343</v>
      </c>
      <c r="D138" s="78">
        <v>0</v>
      </c>
      <c r="E138" s="78">
        <v>19.927961927870964</v>
      </c>
      <c r="F138" s="78">
        <v>0</v>
      </c>
      <c r="G138" s="78">
        <v>86400.000000000102</v>
      </c>
      <c r="H138" s="78">
        <v>0</v>
      </c>
    </row>
    <row r="139" spans="2:8">
      <c r="B139" s="78" t="s">
        <v>344</v>
      </c>
      <c r="C139" s="78" t="s">
        <v>345</v>
      </c>
      <c r="D139" s="78">
        <v>0</v>
      </c>
      <c r="E139" s="78">
        <v>21.763662432721361</v>
      </c>
      <c r="F139" s="78">
        <v>0</v>
      </c>
      <c r="G139" s="78">
        <v>156369.20979303648</v>
      </c>
      <c r="H139" s="78">
        <v>26400.000000000007</v>
      </c>
    </row>
    <row r="140" spans="2:8">
      <c r="B140" s="78" t="s">
        <v>346</v>
      </c>
      <c r="C140" s="78" t="s">
        <v>347</v>
      </c>
      <c r="D140" s="78">
        <v>0</v>
      </c>
      <c r="E140" s="78">
        <v>20.816850816759818</v>
      </c>
      <c r="F140" s="78">
        <v>0</v>
      </c>
      <c r="G140" s="78">
        <v>237600.00000000026</v>
      </c>
      <c r="H140" s="78">
        <v>0</v>
      </c>
    </row>
    <row r="141" spans="2:8">
      <c r="B141" s="78" t="s">
        <v>348</v>
      </c>
      <c r="C141" s="78" t="s">
        <v>349</v>
      </c>
      <c r="D141" s="78">
        <v>0</v>
      </c>
      <c r="E141" s="78">
        <v>21.763662432721404</v>
      </c>
      <c r="F141" s="78">
        <v>0</v>
      </c>
      <c r="G141" s="78">
        <v>97200.000000000116</v>
      </c>
      <c r="H141" s="78">
        <v>10800.000000000002</v>
      </c>
    </row>
    <row r="142" spans="2:8">
      <c r="B142" s="78" t="s">
        <v>350</v>
      </c>
      <c r="C142" s="78" t="s">
        <v>351</v>
      </c>
      <c r="D142" s="78">
        <v>0</v>
      </c>
      <c r="E142" s="78">
        <v>20.039073038982053</v>
      </c>
      <c r="F142" s="78">
        <v>0</v>
      </c>
      <c r="G142" s="78">
        <v>97200.000000000116</v>
      </c>
      <c r="H142" s="78">
        <v>0</v>
      </c>
    </row>
    <row r="143" spans="2:8">
      <c r="B143" s="78" t="s">
        <v>352</v>
      </c>
      <c r="C143" s="78" t="s">
        <v>353</v>
      </c>
      <c r="D143" s="78">
        <v>0</v>
      </c>
      <c r="E143" s="78">
        <v>21.763662432721265</v>
      </c>
      <c r="F143" s="78">
        <v>0</v>
      </c>
      <c r="G143" s="78">
        <v>156369.20979303771</v>
      </c>
      <c r="H143" s="78">
        <v>26400.000000000007</v>
      </c>
    </row>
    <row r="144" spans="2:8">
      <c r="B144" s="78" t="s">
        <v>354</v>
      </c>
      <c r="C144" s="78" t="s">
        <v>355</v>
      </c>
      <c r="D144" s="78">
        <v>0</v>
      </c>
      <c r="E144" s="78">
        <v>21.76366243272134</v>
      </c>
      <c r="F144" s="78">
        <v>0</v>
      </c>
      <c r="G144" s="78">
        <v>156369.20979303765</v>
      </c>
      <c r="H144" s="78">
        <v>26400.000000000004</v>
      </c>
    </row>
    <row r="145" spans="2:8">
      <c r="B145" s="78" t="s">
        <v>356</v>
      </c>
      <c r="C145" s="78" t="s">
        <v>357</v>
      </c>
      <c r="D145" s="78">
        <v>0</v>
      </c>
      <c r="E145" s="78">
        <v>21.763662432721333</v>
      </c>
      <c r="F145" s="78">
        <v>0</v>
      </c>
      <c r="G145" s="78">
        <v>97200.000000000116</v>
      </c>
      <c r="H145" s="78">
        <v>10800.000000000004</v>
      </c>
    </row>
    <row r="146" spans="2:8">
      <c r="B146" s="78" t="s">
        <v>358</v>
      </c>
      <c r="C146" s="78" t="s">
        <v>359</v>
      </c>
      <c r="D146" s="78">
        <v>0</v>
      </c>
      <c r="E146" s="78">
        <v>21.372406372315364</v>
      </c>
      <c r="F146" s="78">
        <v>0</v>
      </c>
      <c r="G146" s="78">
        <v>97200.000000000116</v>
      </c>
      <c r="H146" s="78">
        <v>0</v>
      </c>
    </row>
    <row r="147" spans="2:8">
      <c r="B147" s="78" t="s">
        <v>360</v>
      </c>
      <c r="C147" s="78" t="s">
        <v>361</v>
      </c>
      <c r="D147" s="78">
        <v>0</v>
      </c>
      <c r="E147" s="78">
        <v>21.741895229429389</v>
      </c>
      <c r="F147" s="78">
        <v>0</v>
      </c>
      <c r="G147" s="78">
        <v>127107.12455075653</v>
      </c>
      <c r="H147" s="78">
        <v>26400.000000000007</v>
      </c>
    </row>
    <row r="148" spans="2:8">
      <c r="B148" s="78" t="s">
        <v>362</v>
      </c>
      <c r="C148" s="78" t="s">
        <v>363</v>
      </c>
      <c r="D148" s="78">
        <v>0</v>
      </c>
      <c r="E148" s="78">
        <v>21.741895229429328</v>
      </c>
      <c r="F148" s="78">
        <v>0</v>
      </c>
      <c r="G148" s="78">
        <v>237600.00000000029</v>
      </c>
      <c r="H148" s="78">
        <v>26400</v>
      </c>
    </row>
    <row r="149" spans="2:8">
      <c r="B149" s="78" t="s">
        <v>364</v>
      </c>
      <c r="C149" s="78" t="s">
        <v>365</v>
      </c>
      <c r="D149" s="78">
        <v>0</v>
      </c>
      <c r="E149" s="78">
        <v>21.741895229429243</v>
      </c>
      <c r="F149" s="78">
        <v>0</v>
      </c>
      <c r="G149" s="78">
        <v>86400.000000000102</v>
      </c>
      <c r="H149" s="78">
        <v>9600.0000000000036</v>
      </c>
    </row>
    <row r="150" spans="2:8">
      <c r="B150" s="78" t="s">
        <v>366</v>
      </c>
      <c r="C150" s="78" t="s">
        <v>367</v>
      </c>
      <c r="D150" s="78">
        <v>0</v>
      </c>
      <c r="E150" s="78">
        <v>21.539073038982071</v>
      </c>
      <c r="F150" s="78">
        <v>0</v>
      </c>
      <c r="G150" s="78">
        <v>86400.000000000102</v>
      </c>
      <c r="H150" s="78">
        <v>0</v>
      </c>
    </row>
    <row r="151" spans="2:8">
      <c r="B151" s="78" t="s">
        <v>368</v>
      </c>
      <c r="C151" s="78" t="s">
        <v>369</v>
      </c>
      <c r="D151" s="78">
        <v>0</v>
      </c>
      <c r="E151" s="78">
        <v>21.741895229429307</v>
      </c>
      <c r="F151" s="78">
        <v>0</v>
      </c>
      <c r="G151" s="78">
        <v>226800.00000000026</v>
      </c>
      <c r="H151" s="78">
        <v>25200.000000000007</v>
      </c>
    </row>
    <row r="152" spans="2:8">
      <c r="B152" s="78" t="s">
        <v>370</v>
      </c>
      <c r="C152" s="78" t="s">
        <v>371</v>
      </c>
      <c r="D152" s="78">
        <v>0</v>
      </c>
      <c r="E152" s="78">
        <v>21.741895229429364</v>
      </c>
      <c r="F152" s="78">
        <v>0</v>
      </c>
      <c r="G152" s="78">
        <v>226800.00000000029</v>
      </c>
      <c r="H152" s="78">
        <v>25199.999999999993</v>
      </c>
    </row>
    <row r="153" spans="2:8">
      <c r="B153" s="78" t="s">
        <v>372</v>
      </c>
      <c r="C153" s="78" t="s">
        <v>373</v>
      </c>
      <c r="D153" s="78">
        <v>0</v>
      </c>
      <c r="E153" s="78">
        <v>21.74189522942951</v>
      </c>
      <c r="F153" s="78">
        <v>0</v>
      </c>
      <c r="G153" s="78">
        <v>108000.00000000013</v>
      </c>
      <c r="H153" s="78">
        <v>12000.000000000004</v>
      </c>
    </row>
    <row r="154" spans="2:8" ht="15.95" thickBot="1">
      <c r="B154" s="79" t="s">
        <v>374</v>
      </c>
      <c r="C154" s="79" t="s">
        <v>375</v>
      </c>
      <c r="D154" s="79">
        <v>0</v>
      </c>
      <c r="E154" s="79">
        <v>21.741895229429524</v>
      </c>
      <c r="F154" s="79">
        <v>0</v>
      </c>
      <c r="G154" s="79">
        <v>108000.00000000013</v>
      </c>
      <c r="H154" s="79">
        <v>12000.000000000002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6A2E-139D-4D4E-AB5E-FE921CDC562B}">
  <dimension ref="A1:G202"/>
  <sheetViews>
    <sheetView showGridLines="0" topLeftCell="A70" workbookViewId="0"/>
  </sheetViews>
  <sheetFormatPr defaultColWidth="11.42578125" defaultRowHeight="15"/>
  <cols>
    <col min="1" max="1" width="2.28515625" customWidth="1"/>
    <col min="2" max="2" width="6.28515625" bestFit="1" customWidth="1"/>
    <col min="3" max="3" width="43.85546875" bestFit="1" customWidth="1"/>
    <col min="4" max="4" width="12.140625" bestFit="1" customWidth="1"/>
    <col min="5" max="5" width="13" bestFit="1" customWidth="1"/>
    <col min="6" max="6" width="10.140625" bestFit="1" customWidth="1"/>
    <col min="7" max="7" width="11.140625" bestFit="1" customWidth="1"/>
  </cols>
  <sheetData>
    <row r="1" spans="1:5">
      <c r="A1" s="7" t="s">
        <v>376</v>
      </c>
    </row>
    <row r="2" spans="1:5">
      <c r="A2" s="7" t="s">
        <v>74</v>
      </c>
    </row>
    <row r="3" spans="1:5">
      <c r="A3" s="7" t="s">
        <v>377</v>
      </c>
    </row>
    <row r="4" spans="1:5">
      <c r="A4" s="7" t="s">
        <v>378</v>
      </c>
    </row>
    <row r="5" spans="1:5">
      <c r="A5" s="7" t="s">
        <v>379</v>
      </c>
    </row>
    <row r="6" spans="1:5">
      <c r="A6" s="7"/>
      <c r="B6" t="s">
        <v>380</v>
      </c>
    </row>
    <row r="7" spans="1:5">
      <c r="A7" s="7"/>
      <c r="B7" t="s">
        <v>381</v>
      </c>
    </row>
    <row r="8" spans="1:5">
      <c r="A8" s="7"/>
      <c r="B8" t="s">
        <v>382</v>
      </c>
    </row>
    <row r="9" spans="1:5">
      <c r="A9" s="7" t="s">
        <v>383</v>
      </c>
    </row>
    <row r="10" spans="1:5">
      <c r="B10" t="s">
        <v>384</v>
      </c>
    </row>
    <row r="11" spans="1:5">
      <c r="B11" t="s">
        <v>385</v>
      </c>
    </row>
    <row r="14" spans="1:5" ht="15.95" thickBot="1">
      <c r="A14" t="s">
        <v>386</v>
      </c>
    </row>
    <row r="15" spans="1:5" ht="15.95" thickBot="1">
      <c r="B15" s="50" t="s">
        <v>81</v>
      </c>
      <c r="C15" s="50" t="s">
        <v>82</v>
      </c>
      <c r="D15" s="50" t="s">
        <v>387</v>
      </c>
      <c r="E15" s="50" t="s">
        <v>388</v>
      </c>
    </row>
    <row r="16" spans="1:5" ht="15.95" thickBot="1">
      <c r="B16" s="79" t="s">
        <v>389</v>
      </c>
      <c r="C16" s="79" t="s">
        <v>390</v>
      </c>
      <c r="D16" s="79">
        <v>22657167.581844404</v>
      </c>
      <c r="E16" s="79">
        <v>22657167.581844404</v>
      </c>
    </row>
    <row r="19" spans="1:6" ht="15.95" thickBot="1">
      <c r="A19" t="s">
        <v>76</v>
      </c>
    </row>
    <row r="20" spans="1:6" ht="15.95" thickBot="1">
      <c r="B20" s="50" t="s">
        <v>81</v>
      </c>
      <c r="C20" s="50" t="s">
        <v>82</v>
      </c>
      <c r="D20" s="50" t="s">
        <v>387</v>
      </c>
      <c r="E20" s="50" t="s">
        <v>388</v>
      </c>
      <c r="F20" s="50" t="s">
        <v>391</v>
      </c>
    </row>
    <row r="21" spans="1:6">
      <c r="B21" s="78" t="s">
        <v>87</v>
      </c>
      <c r="C21" s="78" t="s">
        <v>88</v>
      </c>
      <c r="D21" s="78">
        <v>94687.551890186543</v>
      </c>
      <c r="E21" s="78">
        <v>94687.551890186543</v>
      </c>
      <c r="F21" s="78" t="s">
        <v>392</v>
      </c>
    </row>
    <row r="22" spans="1:6">
      <c r="B22" s="78" t="s">
        <v>89</v>
      </c>
      <c r="C22" s="78" t="s">
        <v>90</v>
      </c>
      <c r="D22" s="78">
        <v>0</v>
      </c>
      <c r="E22" s="78">
        <v>0</v>
      </c>
      <c r="F22" s="78" t="s">
        <v>392</v>
      </c>
    </row>
    <row r="23" spans="1:6">
      <c r="B23" s="78" t="s">
        <v>91</v>
      </c>
      <c r="C23" s="78" t="s">
        <v>92</v>
      </c>
      <c r="D23" s="78">
        <v>0</v>
      </c>
      <c r="E23" s="78">
        <v>0</v>
      </c>
      <c r="F23" s="78" t="s">
        <v>392</v>
      </c>
    </row>
    <row r="24" spans="1:6">
      <c r="B24" s="78" t="s">
        <v>93</v>
      </c>
      <c r="C24" s="78" t="s">
        <v>94</v>
      </c>
      <c r="D24" s="78">
        <v>0</v>
      </c>
      <c r="E24" s="78">
        <v>0</v>
      </c>
      <c r="F24" s="78" t="s">
        <v>392</v>
      </c>
    </row>
    <row r="25" spans="1:6">
      <c r="B25" s="78" t="s">
        <v>95</v>
      </c>
      <c r="C25" s="78" t="s">
        <v>96</v>
      </c>
      <c r="D25" s="78">
        <v>15085.714285714288</v>
      </c>
      <c r="E25" s="78">
        <v>15085.714285714288</v>
      </c>
      <c r="F25" s="78" t="s">
        <v>392</v>
      </c>
    </row>
    <row r="26" spans="1:6">
      <c r="B26" s="78" t="s">
        <v>97</v>
      </c>
      <c r="C26" s="78" t="s">
        <v>98</v>
      </c>
      <c r="D26" s="78">
        <v>0</v>
      </c>
      <c r="E26" s="78">
        <v>0</v>
      </c>
      <c r="F26" s="78" t="s">
        <v>392</v>
      </c>
    </row>
    <row r="27" spans="1:6">
      <c r="B27" s="78" t="s">
        <v>99</v>
      </c>
      <c r="C27" s="78" t="s">
        <v>100</v>
      </c>
      <c r="D27" s="78">
        <v>0</v>
      </c>
      <c r="E27" s="78">
        <v>0</v>
      </c>
      <c r="F27" s="78" t="s">
        <v>392</v>
      </c>
    </row>
    <row r="28" spans="1:6">
      <c r="B28" s="78" t="s">
        <v>101</v>
      </c>
      <c r="C28" s="78" t="s">
        <v>102</v>
      </c>
      <c r="D28" s="78">
        <v>0</v>
      </c>
      <c r="E28" s="78">
        <v>0</v>
      </c>
      <c r="F28" s="78" t="s">
        <v>392</v>
      </c>
    </row>
    <row r="29" spans="1:6">
      <c r="B29" s="78" t="s">
        <v>103</v>
      </c>
      <c r="C29" s="78" t="s">
        <v>104</v>
      </c>
      <c r="D29" s="78">
        <v>0</v>
      </c>
      <c r="E29" s="78">
        <v>0</v>
      </c>
      <c r="F29" s="78" t="s">
        <v>392</v>
      </c>
    </row>
    <row r="30" spans="1:6">
      <c r="B30" s="78" t="s">
        <v>105</v>
      </c>
      <c r="C30" s="78" t="s">
        <v>106</v>
      </c>
      <c r="D30" s="78">
        <v>0</v>
      </c>
      <c r="E30" s="78">
        <v>0</v>
      </c>
      <c r="F30" s="78" t="s">
        <v>392</v>
      </c>
    </row>
    <row r="31" spans="1:6">
      <c r="B31" s="78" t="s">
        <v>107</v>
      </c>
      <c r="C31" s="78" t="s">
        <v>108</v>
      </c>
      <c r="D31" s="78">
        <v>34431.83705097693</v>
      </c>
      <c r="E31" s="78">
        <v>34431.83705097693</v>
      </c>
      <c r="F31" s="78" t="s">
        <v>392</v>
      </c>
    </row>
    <row r="32" spans="1:6">
      <c r="B32" s="78" t="s">
        <v>109</v>
      </c>
      <c r="C32" s="78" t="s">
        <v>110</v>
      </c>
      <c r="D32" s="78">
        <v>0</v>
      </c>
      <c r="E32" s="78">
        <v>0</v>
      </c>
      <c r="F32" s="78" t="s">
        <v>392</v>
      </c>
    </row>
    <row r="33" spans="2:6">
      <c r="B33" s="78" t="s">
        <v>111</v>
      </c>
      <c r="C33" s="78" t="s">
        <v>112</v>
      </c>
      <c r="D33" s="78">
        <v>0</v>
      </c>
      <c r="E33" s="78">
        <v>0</v>
      </c>
      <c r="F33" s="78" t="s">
        <v>392</v>
      </c>
    </row>
    <row r="34" spans="2:6">
      <c r="B34" s="78" t="s">
        <v>113</v>
      </c>
      <c r="C34" s="78" t="s">
        <v>114</v>
      </c>
      <c r="D34" s="78">
        <v>0</v>
      </c>
      <c r="E34" s="78">
        <v>0</v>
      </c>
      <c r="F34" s="78" t="s">
        <v>392</v>
      </c>
    </row>
    <row r="35" spans="2:6">
      <c r="B35" s="78" t="s">
        <v>115</v>
      </c>
      <c r="C35" s="78" t="s">
        <v>116</v>
      </c>
      <c r="D35" s="78">
        <v>5485.7142857142871</v>
      </c>
      <c r="E35" s="78">
        <v>5485.7142857142871</v>
      </c>
      <c r="F35" s="78" t="s">
        <v>392</v>
      </c>
    </row>
    <row r="36" spans="2:6">
      <c r="B36" s="78" t="s">
        <v>117</v>
      </c>
      <c r="C36" s="78" t="s">
        <v>118</v>
      </c>
      <c r="D36" s="78">
        <v>0</v>
      </c>
      <c r="E36" s="78">
        <v>0</v>
      </c>
      <c r="F36" s="78" t="s">
        <v>392</v>
      </c>
    </row>
    <row r="37" spans="2:6">
      <c r="B37" s="78" t="s">
        <v>119</v>
      </c>
      <c r="C37" s="78" t="s">
        <v>120</v>
      </c>
      <c r="D37" s="78">
        <v>0</v>
      </c>
      <c r="E37" s="78">
        <v>0</v>
      </c>
      <c r="F37" s="78" t="s">
        <v>392</v>
      </c>
    </row>
    <row r="38" spans="2:6">
      <c r="B38" s="78" t="s">
        <v>121</v>
      </c>
      <c r="C38" s="78" t="s">
        <v>122</v>
      </c>
      <c r="D38" s="78">
        <v>0</v>
      </c>
      <c r="E38" s="78">
        <v>0</v>
      </c>
      <c r="F38" s="78" t="s">
        <v>392</v>
      </c>
    </row>
    <row r="39" spans="2:6">
      <c r="B39" s="78" t="s">
        <v>123</v>
      </c>
      <c r="C39" s="78" t="s">
        <v>124</v>
      </c>
      <c r="D39" s="78">
        <v>0</v>
      </c>
      <c r="E39" s="78">
        <v>0</v>
      </c>
      <c r="F39" s="78" t="s">
        <v>392</v>
      </c>
    </row>
    <row r="40" spans="2:6">
      <c r="B40" s="78" t="s">
        <v>125</v>
      </c>
      <c r="C40" s="78" t="s">
        <v>126</v>
      </c>
      <c r="D40" s="78">
        <v>0</v>
      </c>
      <c r="E40" s="78">
        <v>0</v>
      </c>
      <c r="F40" s="78" t="s">
        <v>392</v>
      </c>
    </row>
    <row r="41" spans="2:6">
      <c r="B41" s="78" t="s">
        <v>127</v>
      </c>
      <c r="C41" s="78" t="s">
        <v>128</v>
      </c>
      <c r="D41" s="78">
        <v>94687.551890186543</v>
      </c>
      <c r="E41" s="78">
        <v>94687.551890186543</v>
      </c>
      <c r="F41" s="78" t="s">
        <v>392</v>
      </c>
    </row>
    <row r="42" spans="2:6">
      <c r="B42" s="78" t="s">
        <v>129</v>
      </c>
      <c r="C42" s="78" t="s">
        <v>130</v>
      </c>
      <c r="D42" s="78">
        <v>0</v>
      </c>
      <c r="E42" s="78">
        <v>0</v>
      </c>
      <c r="F42" s="78" t="s">
        <v>392</v>
      </c>
    </row>
    <row r="43" spans="2:6">
      <c r="B43" s="78" t="s">
        <v>131</v>
      </c>
      <c r="C43" s="78" t="s">
        <v>132</v>
      </c>
      <c r="D43" s="78">
        <v>0</v>
      </c>
      <c r="E43" s="78">
        <v>0</v>
      </c>
      <c r="F43" s="78" t="s">
        <v>392</v>
      </c>
    </row>
    <row r="44" spans="2:6">
      <c r="B44" s="78" t="s">
        <v>133</v>
      </c>
      <c r="C44" s="78" t="s">
        <v>134</v>
      </c>
      <c r="D44" s="78">
        <v>0</v>
      </c>
      <c r="E44" s="78">
        <v>0</v>
      </c>
      <c r="F44" s="78" t="s">
        <v>392</v>
      </c>
    </row>
    <row r="45" spans="2:6">
      <c r="B45" s="78" t="s">
        <v>135</v>
      </c>
      <c r="C45" s="78" t="s">
        <v>136</v>
      </c>
      <c r="D45" s="78">
        <v>15085.714285714288</v>
      </c>
      <c r="E45" s="78">
        <v>15085.714285714288</v>
      </c>
      <c r="F45" s="78" t="s">
        <v>392</v>
      </c>
    </row>
    <row r="46" spans="2:6">
      <c r="B46" s="78" t="s">
        <v>137</v>
      </c>
      <c r="C46" s="78" t="s">
        <v>138</v>
      </c>
      <c r="D46" s="78">
        <v>0</v>
      </c>
      <c r="E46" s="78">
        <v>0</v>
      </c>
      <c r="F46" s="78" t="s">
        <v>392</v>
      </c>
    </row>
    <row r="47" spans="2:6">
      <c r="B47" s="78" t="s">
        <v>139</v>
      </c>
      <c r="C47" s="78" t="s">
        <v>140</v>
      </c>
      <c r="D47" s="78">
        <v>0</v>
      </c>
      <c r="E47" s="78">
        <v>0</v>
      </c>
      <c r="F47" s="78" t="s">
        <v>392</v>
      </c>
    </row>
    <row r="48" spans="2:6">
      <c r="B48" s="78" t="s">
        <v>141</v>
      </c>
      <c r="C48" s="78" t="s">
        <v>142</v>
      </c>
      <c r="D48" s="78">
        <v>0</v>
      </c>
      <c r="E48" s="78">
        <v>0</v>
      </c>
      <c r="F48" s="78" t="s">
        <v>392</v>
      </c>
    </row>
    <row r="49" spans="2:6">
      <c r="B49" s="78" t="s">
        <v>143</v>
      </c>
      <c r="C49" s="78" t="s">
        <v>144</v>
      </c>
      <c r="D49" s="78">
        <v>0</v>
      </c>
      <c r="E49" s="78">
        <v>0</v>
      </c>
      <c r="F49" s="78" t="s">
        <v>392</v>
      </c>
    </row>
    <row r="50" spans="2:6">
      <c r="B50" s="78" t="s">
        <v>145</v>
      </c>
      <c r="C50" s="78" t="s">
        <v>146</v>
      </c>
      <c r="D50" s="78">
        <v>0</v>
      </c>
      <c r="E50" s="78">
        <v>0</v>
      </c>
      <c r="F50" s="78" t="s">
        <v>392</v>
      </c>
    </row>
    <row r="51" spans="2:6">
      <c r="B51" s="78" t="s">
        <v>147</v>
      </c>
      <c r="C51" s="78" t="s">
        <v>148</v>
      </c>
      <c r="D51" s="78">
        <v>38735.816682349046</v>
      </c>
      <c r="E51" s="78">
        <v>38735.816682349046</v>
      </c>
      <c r="F51" s="78" t="s">
        <v>392</v>
      </c>
    </row>
    <row r="52" spans="2:6">
      <c r="B52" s="78" t="s">
        <v>149</v>
      </c>
      <c r="C52" s="78" t="s">
        <v>150</v>
      </c>
      <c r="D52" s="78">
        <v>0</v>
      </c>
      <c r="E52" s="78">
        <v>0</v>
      </c>
      <c r="F52" s="78" t="s">
        <v>392</v>
      </c>
    </row>
    <row r="53" spans="2:6">
      <c r="B53" s="78" t="s">
        <v>151</v>
      </c>
      <c r="C53" s="78" t="s">
        <v>152</v>
      </c>
      <c r="D53" s="78">
        <v>0</v>
      </c>
      <c r="E53" s="78">
        <v>0</v>
      </c>
      <c r="F53" s="78" t="s">
        <v>392</v>
      </c>
    </row>
    <row r="54" spans="2:6">
      <c r="B54" s="78" t="s">
        <v>153</v>
      </c>
      <c r="C54" s="78" t="s">
        <v>154</v>
      </c>
      <c r="D54" s="78">
        <v>0</v>
      </c>
      <c r="E54" s="78">
        <v>0</v>
      </c>
      <c r="F54" s="78" t="s">
        <v>392</v>
      </c>
    </row>
    <row r="55" spans="2:6">
      <c r="B55" s="78" t="s">
        <v>155</v>
      </c>
      <c r="C55" s="78" t="s">
        <v>156</v>
      </c>
      <c r="D55" s="78">
        <v>6171.4285714285734</v>
      </c>
      <c r="E55" s="78">
        <v>6171.4285714285734</v>
      </c>
      <c r="F55" s="78" t="s">
        <v>392</v>
      </c>
    </row>
    <row r="56" spans="2:6">
      <c r="B56" s="78" t="s">
        <v>157</v>
      </c>
      <c r="C56" s="78" t="s">
        <v>158</v>
      </c>
      <c r="D56" s="78">
        <v>0</v>
      </c>
      <c r="E56" s="78">
        <v>0</v>
      </c>
      <c r="F56" s="78" t="s">
        <v>392</v>
      </c>
    </row>
    <row r="57" spans="2:6">
      <c r="B57" s="78" t="s">
        <v>159</v>
      </c>
      <c r="C57" s="78" t="s">
        <v>160</v>
      </c>
      <c r="D57" s="78">
        <v>0</v>
      </c>
      <c r="E57" s="78">
        <v>0</v>
      </c>
      <c r="F57" s="78" t="s">
        <v>392</v>
      </c>
    </row>
    <row r="58" spans="2:6">
      <c r="B58" s="78" t="s">
        <v>161</v>
      </c>
      <c r="C58" s="78" t="s">
        <v>162</v>
      </c>
      <c r="D58" s="78">
        <v>0</v>
      </c>
      <c r="E58" s="78">
        <v>0</v>
      </c>
      <c r="F58" s="78" t="s">
        <v>392</v>
      </c>
    </row>
    <row r="59" spans="2:6">
      <c r="B59" s="78" t="s">
        <v>163</v>
      </c>
      <c r="C59" s="78" t="s">
        <v>164</v>
      </c>
      <c r="D59" s="78">
        <v>0</v>
      </c>
      <c r="E59" s="78">
        <v>0</v>
      </c>
      <c r="F59" s="78" t="s">
        <v>392</v>
      </c>
    </row>
    <row r="60" spans="2:6">
      <c r="B60" s="78" t="s">
        <v>165</v>
      </c>
      <c r="C60" s="78" t="s">
        <v>166</v>
      </c>
      <c r="D60" s="78">
        <v>0</v>
      </c>
      <c r="E60" s="78">
        <v>0</v>
      </c>
      <c r="F60" s="78" t="s">
        <v>392</v>
      </c>
    </row>
    <row r="61" spans="2:6">
      <c r="B61" s="78" t="s">
        <v>167</v>
      </c>
      <c r="C61" s="78" t="s">
        <v>168</v>
      </c>
      <c r="D61" s="78">
        <v>94687.551890186543</v>
      </c>
      <c r="E61" s="78">
        <v>94687.551890186543</v>
      </c>
      <c r="F61" s="78" t="s">
        <v>392</v>
      </c>
    </row>
    <row r="62" spans="2:6">
      <c r="B62" s="78" t="s">
        <v>169</v>
      </c>
      <c r="C62" s="78" t="s">
        <v>170</v>
      </c>
      <c r="D62" s="78">
        <v>0</v>
      </c>
      <c r="E62" s="78">
        <v>0</v>
      </c>
      <c r="F62" s="78" t="s">
        <v>392</v>
      </c>
    </row>
    <row r="63" spans="2:6">
      <c r="B63" s="78" t="s">
        <v>171</v>
      </c>
      <c r="C63" s="78" t="s">
        <v>172</v>
      </c>
      <c r="D63" s="78">
        <v>0</v>
      </c>
      <c r="E63" s="78">
        <v>0</v>
      </c>
      <c r="F63" s="78" t="s">
        <v>392</v>
      </c>
    </row>
    <row r="64" spans="2:6">
      <c r="B64" s="78" t="s">
        <v>173</v>
      </c>
      <c r="C64" s="78" t="s">
        <v>174</v>
      </c>
      <c r="D64" s="78">
        <v>0</v>
      </c>
      <c r="E64" s="78">
        <v>0</v>
      </c>
      <c r="F64" s="78" t="s">
        <v>392</v>
      </c>
    </row>
    <row r="65" spans="2:6">
      <c r="B65" s="78" t="s">
        <v>175</v>
      </c>
      <c r="C65" s="78" t="s">
        <v>176</v>
      </c>
      <c r="D65" s="78">
        <v>15085.714285714288</v>
      </c>
      <c r="E65" s="78">
        <v>15085.714285714288</v>
      </c>
      <c r="F65" s="78" t="s">
        <v>392</v>
      </c>
    </row>
    <row r="66" spans="2:6">
      <c r="B66" s="78" t="s">
        <v>177</v>
      </c>
      <c r="C66" s="78" t="s">
        <v>178</v>
      </c>
      <c r="D66" s="78">
        <v>94687.551890186558</v>
      </c>
      <c r="E66" s="78">
        <v>94687.551890186558</v>
      </c>
      <c r="F66" s="78" t="s">
        <v>392</v>
      </c>
    </row>
    <row r="67" spans="2:6">
      <c r="B67" s="78" t="s">
        <v>179</v>
      </c>
      <c r="C67" s="78" t="s">
        <v>180</v>
      </c>
      <c r="D67" s="78">
        <v>0</v>
      </c>
      <c r="E67" s="78">
        <v>0</v>
      </c>
      <c r="F67" s="78" t="s">
        <v>392</v>
      </c>
    </row>
    <row r="68" spans="2:6">
      <c r="B68" s="78" t="s">
        <v>181</v>
      </c>
      <c r="C68" s="78" t="s">
        <v>182</v>
      </c>
      <c r="D68" s="78">
        <v>0</v>
      </c>
      <c r="E68" s="78">
        <v>0</v>
      </c>
      <c r="F68" s="78" t="s">
        <v>392</v>
      </c>
    </row>
    <row r="69" spans="2:6">
      <c r="B69" s="78" t="s">
        <v>183</v>
      </c>
      <c r="C69" s="78" t="s">
        <v>184</v>
      </c>
      <c r="D69" s="78">
        <v>0</v>
      </c>
      <c r="E69" s="78">
        <v>0</v>
      </c>
      <c r="F69" s="78" t="s">
        <v>392</v>
      </c>
    </row>
    <row r="70" spans="2:6">
      <c r="B70" s="78" t="s">
        <v>185</v>
      </c>
      <c r="C70" s="78" t="s">
        <v>186</v>
      </c>
      <c r="D70" s="78">
        <v>15085.71428571429</v>
      </c>
      <c r="E70" s="78">
        <v>15085.71428571429</v>
      </c>
      <c r="F70" s="78" t="s">
        <v>392</v>
      </c>
    </row>
    <row r="71" spans="2:6">
      <c r="B71" s="78" t="s">
        <v>187</v>
      </c>
      <c r="C71" s="78" t="s">
        <v>188</v>
      </c>
      <c r="D71" s="78">
        <v>38735.816682349046</v>
      </c>
      <c r="E71" s="78">
        <v>38735.816682349046</v>
      </c>
      <c r="F71" s="78" t="s">
        <v>392</v>
      </c>
    </row>
    <row r="72" spans="2:6">
      <c r="B72" s="78" t="s">
        <v>189</v>
      </c>
      <c r="C72" s="78" t="s">
        <v>190</v>
      </c>
      <c r="D72" s="78">
        <v>0</v>
      </c>
      <c r="E72" s="78">
        <v>0</v>
      </c>
      <c r="F72" s="78" t="s">
        <v>392</v>
      </c>
    </row>
    <row r="73" spans="2:6">
      <c r="B73" s="78" t="s">
        <v>191</v>
      </c>
      <c r="C73" s="78" t="s">
        <v>192</v>
      </c>
      <c r="D73" s="78">
        <v>0</v>
      </c>
      <c r="E73" s="78">
        <v>0</v>
      </c>
      <c r="F73" s="78" t="s">
        <v>392</v>
      </c>
    </row>
    <row r="74" spans="2:6">
      <c r="B74" s="78" t="s">
        <v>193</v>
      </c>
      <c r="C74" s="78" t="s">
        <v>194</v>
      </c>
      <c r="D74" s="78">
        <v>0</v>
      </c>
      <c r="E74" s="78">
        <v>0</v>
      </c>
      <c r="F74" s="78" t="s">
        <v>392</v>
      </c>
    </row>
    <row r="75" spans="2:6">
      <c r="B75" s="78" t="s">
        <v>195</v>
      </c>
      <c r="C75" s="78" t="s">
        <v>196</v>
      </c>
      <c r="D75" s="78">
        <v>6171.4285714285734</v>
      </c>
      <c r="E75" s="78">
        <v>6171.4285714285734</v>
      </c>
      <c r="F75" s="78" t="s">
        <v>392</v>
      </c>
    </row>
    <row r="76" spans="2:6">
      <c r="B76" s="78" t="s">
        <v>197</v>
      </c>
      <c r="C76" s="78" t="s">
        <v>198</v>
      </c>
      <c r="D76" s="78">
        <v>0</v>
      </c>
      <c r="E76" s="78">
        <v>0</v>
      </c>
      <c r="F76" s="78" t="s">
        <v>392</v>
      </c>
    </row>
    <row r="77" spans="2:6">
      <c r="B77" s="78" t="s">
        <v>199</v>
      </c>
      <c r="C77" s="78" t="s">
        <v>200</v>
      </c>
      <c r="D77" s="78">
        <v>0</v>
      </c>
      <c r="E77" s="78">
        <v>0</v>
      </c>
      <c r="F77" s="78" t="s">
        <v>392</v>
      </c>
    </row>
    <row r="78" spans="2:6">
      <c r="B78" s="78" t="s">
        <v>201</v>
      </c>
      <c r="C78" s="78" t="s">
        <v>202</v>
      </c>
      <c r="D78" s="78">
        <v>0</v>
      </c>
      <c r="E78" s="78">
        <v>0</v>
      </c>
      <c r="F78" s="78" t="s">
        <v>392</v>
      </c>
    </row>
    <row r="79" spans="2:6">
      <c r="B79" s="78" t="s">
        <v>203</v>
      </c>
      <c r="C79" s="78" t="s">
        <v>204</v>
      </c>
      <c r="D79" s="78">
        <v>0</v>
      </c>
      <c r="E79" s="78">
        <v>0</v>
      </c>
      <c r="F79" s="78" t="s">
        <v>392</v>
      </c>
    </row>
    <row r="80" spans="2:6">
      <c r="B80" s="78" t="s">
        <v>205</v>
      </c>
      <c r="C80" s="78" t="s">
        <v>206</v>
      </c>
      <c r="D80" s="78">
        <v>0</v>
      </c>
      <c r="E80" s="78">
        <v>0</v>
      </c>
      <c r="F80" s="78" t="s">
        <v>392</v>
      </c>
    </row>
    <row r="81" spans="2:6">
      <c r="B81" s="78" t="s">
        <v>207</v>
      </c>
      <c r="C81" s="78" t="s">
        <v>208</v>
      </c>
      <c r="D81" s="78">
        <v>0</v>
      </c>
      <c r="E81" s="78">
        <v>0</v>
      </c>
      <c r="F81" s="78" t="s">
        <v>392</v>
      </c>
    </row>
    <row r="82" spans="2:6">
      <c r="B82" s="78" t="s">
        <v>209</v>
      </c>
      <c r="C82" s="78" t="s">
        <v>210</v>
      </c>
      <c r="D82" s="78">
        <v>0</v>
      </c>
      <c r="E82" s="78">
        <v>0</v>
      </c>
      <c r="F82" s="78" t="s">
        <v>392</v>
      </c>
    </row>
    <row r="83" spans="2:6">
      <c r="B83" s="78" t="s">
        <v>211</v>
      </c>
      <c r="C83" s="78" t="s">
        <v>212</v>
      </c>
      <c r="D83" s="78">
        <v>67627.44502723933</v>
      </c>
      <c r="E83" s="78">
        <v>67627.44502723933</v>
      </c>
      <c r="F83" s="78" t="s">
        <v>392</v>
      </c>
    </row>
    <row r="84" spans="2:6">
      <c r="B84" s="78" t="s">
        <v>213</v>
      </c>
      <c r="C84" s="78" t="s">
        <v>214</v>
      </c>
      <c r="D84" s="78">
        <v>30038.675996883587</v>
      </c>
      <c r="E84" s="78">
        <v>30038.675996883587</v>
      </c>
      <c r="F84" s="78" t="s">
        <v>392</v>
      </c>
    </row>
    <row r="85" spans="2:6">
      <c r="B85" s="78" t="s">
        <v>215</v>
      </c>
      <c r="C85" s="78" t="s">
        <v>216</v>
      </c>
      <c r="D85" s="78">
        <v>15085.71428571429</v>
      </c>
      <c r="E85" s="78">
        <v>15085.71428571429</v>
      </c>
      <c r="F85" s="78" t="s">
        <v>392</v>
      </c>
    </row>
    <row r="86" spans="2:6">
      <c r="B86" s="78" t="s">
        <v>217</v>
      </c>
      <c r="C86" s="78" t="s">
        <v>218</v>
      </c>
      <c r="D86" s="78">
        <v>0</v>
      </c>
      <c r="E86" s="78">
        <v>0</v>
      </c>
      <c r="F86" s="78" t="s">
        <v>392</v>
      </c>
    </row>
    <row r="87" spans="2:6">
      <c r="B87" s="78" t="s">
        <v>219</v>
      </c>
      <c r="C87" s="78" t="s">
        <v>220</v>
      </c>
      <c r="D87" s="78">
        <v>0</v>
      </c>
      <c r="E87" s="78">
        <v>0</v>
      </c>
      <c r="F87" s="78" t="s">
        <v>392</v>
      </c>
    </row>
    <row r="88" spans="2:6">
      <c r="B88" s="78" t="s">
        <v>221</v>
      </c>
      <c r="C88" s="78" t="s">
        <v>222</v>
      </c>
      <c r="D88" s="78">
        <v>99750.437317784235</v>
      </c>
      <c r="E88" s="78">
        <v>99750.437317784235</v>
      </c>
      <c r="F88" s="78" t="s">
        <v>392</v>
      </c>
    </row>
    <row r="89" spans="2:6">
      <c r="B89" s="78" t="s">
        <v>223</v>
      </c>
      <c r="C89" s="78" t="s">
        <v>224</v>
      </c>
      <c r="D89" s="78">
        <v>0</v>
      </c>
      <c r="E89" s="78">
        <v>0</v>
      </c>
      <c r="F89" s="78" t="s">
        <v>392</v>
      </c>
    </row>
    <row r="90" spans="2:6">
      <c r="B90" s="78" t="s">
        <v>225</v>
      </c>
      <c r="C90" s="78" t="s">
        <v>226</v>
      </c>
      <c r="D90" s="78">
        <v>15085.714285714288</v>
      </c>
      <c r="E90" s="78">
        <v>15085.714285714288</v>
      </c>
      <c r="F90" s="78" t="s">
        <v>392</v>
      </c>
    </row>
    <row r="91" spans="2:6">
      <c r="B91" s="78" t="s">
        <v>227</v>
      </c>
      <c r="C91" s="78" t="s">
        <v>228</v>
      </c>
      <c r="D91" s="78">
        <v>0</v>
      </c>
      <c r="E91" s="78">
        <v>0</v>
      </c>
      <c r="F91" s="78" t="s">
        <v>392</v>
      </c>
    </row>
    <row r="92" spans="2:6">
      <c r="B92" s="78" t="s">
        <v>229</v>
      </c>
      <c r="C92" s="78" t="s">
        <v>230</v>
      </c>
      <c r="D92" s="78">
        <v>0</v>
      </c>
      <c r="E92" s="78">
        <v>0</v>
      </c>
      <c r="F92" s="78" t="s">
        <v>392</v>
      </c>
    </row>
    <row r="93" spans="2:6">
      <c r="B93" s="78" t="s">
        <v>231</v>
      </c>
      <c r="C93" s="78" t="s">
        <v>232</v>
      </c>
      <c r="D93" s="78">
        <v>36272.886297376084</v>
      </c>
      <c r="E93" s="78">
        <v>36272.886297376084</v>
      </c>
      <c r="F93" s="78" t="s">
        <v>392</v>
      </c>
    </row>
    <row r="94" spans="2:6">
      <c r="B94" s="78" t="s">
        <v>233</v>
      </c>
      <c r="C94" s="78" t="s">
        <v>234</v>
      </c>
      <c r="D94" s="78">
        <v>0</v>
      </c>
      <c r="E94" s="78">
        <v>0</v>
      </c>
      <c r="F94" s="78" t="s">
        <v>392</v>
      </c>
    </row>
    <row r="95" spans="2:6">
      <c r="B95" s="78" t="s">
        <v>235</v>
      </c>
      <c r="C95" s="78" t="s">
        <v>236</v>
      </c>
      <c r="D95" s="78">
        <v>5485.7142857142871</v>
      </c>
      <c r="E95" s="78">
        <v>5485.7142857142871</v>
      </c>
      <c r="F95" s="78" t="s">
        <v>392</v>
      </c>
    </row>
    <row r="96" spans="2:6">
      <c r="B96" s="78" t="s">
        <v>237</v>
      </c>
      <c r="C96" s="78" t="s">
        <v>238</v>
      </c>
      <c r="D96" s="78">
        <v>0</v>
      </c>
      <c r="E96" s="78">
        <v>0</v>
      </c>
      <c r="F96" s="78" t="s">
        <v>392</v>
      </c>
    </row>
    <row r="97" spans="2:6">
      <c r="B97" s="78" t="s">
        <v>239</v>
      </c>
      <c r="C97" s="78" t="s">
        <v>240</v>
      </c>
      <c r="D97" s="78">
        <v>0</v>
      </c>
      <c r="E97" s="78">
        <v>0</v>
      </c>
      <c r="F97" s="78" t="s">
        <v>392</v>
      </c>
    </row>
    <row r="98" spans="2:6">
      <c r="B98" s="78" t="s">
        <v>241</v>
      </c>
      <c r="C98" s="78" t="s">
        <v>242</v>
      </c>
      <c r="D98" s="78">
        <v>0</v>
      </c>
      <c r="E98" s="78">
        <v>0</v>
      </c>
      <c r="F98" s="78" t="s">
        <v>392</v>
      </c>
    </row>
    <row r="99" spans="2:6">
      <c r="B99" s="78" t="s">
        <v>243</v>
      </c>
      <c r="C99" s="78" t="s">
        <v>244</v>
      </c>
      <c r="D99" s="78">
        <v>0</v>
      </c>
      <c r="E99" s="78">
        <v>0</v>
      </c>
      <c r="F99" s="78" t="s">
        <v>392</v>
      </c>
    </row>
    <row r="100" spans="2:6">
      <c r="B100" s="78" t="s">
        <v>245</v>
      </c>
      <c r="C100" s="78" t="s">
        <v>246</v>
      </c>
      <c r="D100" s="78">
        <v>0</v>
      </c>
      <c r="E100" s="78">
        <v>0</v>
      </c>
      <c r="F100" s="78" t="s">
        <v>392</v>
      </c>
    </row>
    <row r="101" spans="2:6">
      <c r="B101" s="78" t="s">
        <v>247</v>
      </c>
      <c r="C101" s="78" t="s">
        <v>248</v>
      </c>
      <c r="D101" s="78">
        <v>0</v>
      </c>
      <c r="E101" s="78">
        <v>0</v>
      </c>
      <c r="F101" s="78" t="s">
        <v>392</v>
      </c>
    </row>
    <row r="102" spans="2:6">
      <c r="B102" s="78" t="s">
        <v>249</v>
      </c>
      <c r="C102" s="78" t="s">
        <v>250</v>
      </c>
      <c r="D102" s="78">
        <v>0</v>
      </c>
      <c r="E102" s="78">
        <v>0</v>
      </c>
      <c r="F102" s="78" t="s">
        <v>392</v>
      </c>
    </row>
    <row r="103" spans="2:6">
      <c r="B103" s="78" t="s">
        <v>251</v>
      </c>
      <c r="C103" s="78" t="s">
        <v>252</v>
      </c>
      <c r="D103" s="78">
        <v>95216.326530612219</v>
      </c>
      <c r="E103" s="78">
        <v>95216.326530612219</v>
      </c>
      <c r="F103" s="78" t="s">
        <v>392</v>
      </c>
    </row>
    <row r="104" spans="2:6">
      <c r="B104" s="78" t="s">
        <v>253</v>
      </c>
      <c r="C104" s="78" t="s">
        <v>254</v>
      </c>
      <c r="D104" s="78">
        <v>0</v>
      </c>
      <c r="E104" s="78">
        <v>0</v>
      </c>
      <c r="F104" s="78" t="s">
        <v>392</v>
      </c>
    </row>
    <row r="105" spans="2:6">
      <c r="B105" s="78" t="s">
        <v>255</v>
      </c>
      <c r="C105" s="78" t="s">
        <v>256</v>
      </c>
      <c r="D105" s="78">
        <v>14400.000000000004</v>
      </c>
      <c r="E105" s="78">
        <v>14400.000000000004</v>
      </c>
      <c r="F105" s="78" t="s">
        <v>392</v>
      </c>
    </row>
    <row r="106" spans="2:6">
      <c r="B106" s="78" t="s">
        <v>257</v>
      </c>
      <c r="C106" s="78" t="s">
        <v>258</v>
      </c>
      <c r="D106" s="78">
        <v>0</v>
      </c>
      <c r="E106" s="78">
        <v>0</v>
      </c>
      <c r="F106" s="78" t="s">
        <v>392</v>
      </c>
    </row>
    <row r="107" spans="2:6">
      <c r="B107" s="78" t="s">
        <v>259</v>
      </c>
      <c r="C107" s="78" t="s">
        <v>260</v>
      </c>
      <c r="D107" s="78">
        <v>0</v>
      </c>
      <c r="E107" s="78">
        <v>0</v>
      </c>
      <c r="F107" s="78" t="s">
        <v>392</v>
      </c>
    </row>
    <row r="108" spans="2:6">
      <c r="B108" s="78" t="s">
        <v>261</v>
      </c>
      <c r="C108" s="78" t="s">
        <v>262</v>
      </c>
      <c r="D108" s="78">
        <v>95216.326530612219</v>
      </c>
      <c r="E108" s="78">
        <v>95216.326530612219</v>
      </c>
      <c r="F108" s="78" t="s">
        <v>392</v>
      </c>
    </row>
    <row r="109" spans="2:6">
      <c r="B109" s="78" t="s">
        <v>263</v>
      </c>
      <c r="C109" s="78" t="s">
        <v>264</v>
      </c>
      <c r="D109" s="78">
        <v>0</v>
      </c>
      <c r="E109" s="78">
        <v>0</v>
      </c>
      <c r="F109" s="78" t="s">
        <v>392</v>
      </c>
    </row>
    <row r="110" spans="2:6">
      <c r="B110" s="78" t="s">
        <v>265</v>
      </c>
      <c r="C110" s="78" t="s">
        <v>266</v>
      </c>
      <c r="D110" s="78">
        <v>14399.999999999998</v>
      </c>
      <c r="E110" s="78">
        <v>14399.999999999998</v>
      </c>
      <c r="F110" s="78" t="s">
        <v>392</v>
      </c>
    </row>
    <row r="111" spans="2:6">
      <c r="B111" s="78" t="s">
        <v>267</v>
      </c>
      <c r="C111" s="78" t="s">
        <v>268</v>
      </c>
      <c r="D111" s="78">
        <v>0</v>
      </c>
      <c r="E111" s="78">
        <v>0</v>
      </c>
      <c r="F111" s="78" t="s">
        <v>392</v>
      </c>
    </row>
    <row r="112" spans="2:6">
      <c r="B112" s="78" t="s">
        <v>269</v>
      </c>
      <c r="C112" s="78" t="s">
        <v>270</v>
      </c>
      <c r="D112" s="78">
        <v>0</v>
      </c>
      <c r="E112" s="78">
        <v>0</v>
      </c>
      <c r="F112" s="78" t="s">
        <v>392</v>
      </c>
    </row>
    <row r="113" spans="1:7">
      <c r="B113" s="78" t="s">
        <v>271</v>
      </c>
      <c r="C113" s="78" t="s">
        <v>272</v>
      </c>
      <c r="D113" s="78">
        <v>45341.107871720109</v>
      </c>
      <c r="E113" s="78">
        <v>45341.107871720109</v>
      </c>
      <c r="F113" s="78" t="s">
        <v>392</v>
      </c>
    </row>
    <row r="114" spans="1:7">
      <c r="B114" s="78" t="s">
        <v>273</v>
      </c>
      <c r="C114" s="78" t="s">
        <v>274</v>
      </c>
      <c r="D114" s="78">
        <v>0</v>
      </c>
      <c r="E114" s="78">
        <v>0</v>
      </c>
      <c r="F114" s="78" t="s">
        <v>392</v>
      </c>
    </row>
    <row r="115" spans="1:7">
      <c r="B115" s="78" t="s">
        <v>275</v>
      </c>
      <c r="C115" s="78" t="s">
        <v>276</v>
      </c>
      <c r="D115" s="78">
        <v>6857.1428571428587</v>
      </c>
      <c r="E115" s="78">
        <v>6857.1428571428587</v>
      </c>
      <c r="F115" s="78" t="s">
        <v>392</v>
      </c>
    </row>
    <row r="116" spans="1:7">
      <c r="B116" s="78" t="s">
        <v>277</v>
      </c>
      <c r="C116" s="78" t="s">
        <v>278</v>
      </c>
      <c r="D116" s="78">
        <v>0</v>
      </c>
      <c r="E116" s="78">
        <v>0</v>
      </c>
      <c r="F116" s="78" t="s">
        <v>392</v>
      </c>
    </row>
    <row r="117" spans="1:7">
      <c r="B117" s="78" t="s">
        <v>279</v>
      </c>
      <c r="C117" s="78" t="s">
        <v>280</v>
      </c>
      <c r="D117" s="78">
        <v>0</v>
      </c>
      <c r="E117" s="78">
        <v>0</v>
      </c>
      <c r="F117" s="78" t="s">
        <v>392</v>
      </c>
    </row>
    <row r="118" spans="1:7">
      <c r="B118" s="78" t="s">
        <v>281</v>
      </c>
      <c r="C118" s="78" t="s">
        <v>282</v>
      </c>
      <c r="D118" s="78">
        <v>45341.107871720109</v>
      </c>
      <c r="E118" s="78">
        <v>45341.107871720109</v>
      </c>
      <c r="F118" s="78" t="s">
        <v>392</v>
      </c>
    </row>
    <row r="119" spans="1:7">
      <c r="B119" s="78" t="s">
        <v>283</v>
      </c>
      <c r="C119" s="78" t="s">
        <v>284</v>
      </c>
      <c r="D119" s="78">
        <v>0</v>
      </c>
      <c r="E119" s="78">
        <v>0</v>
      </c>
      <c r="F119" s="78" t="s">
        <v>392</v>
      </c>
    </row>
    <row r="120" spans="1:7" ht="15.95" thickBot="1">
      <c r="B120" s="79" t="s">
        <v>285</v>
      </c>
      <c r="C120" s="79" t="s">
        <v>286</v>
      </c>
      <c r="D120" s="79">
        <v>6857.1428571428587</v>
      </c>
      <c r="E120" s="79">
        <v>6857.1428571428587</v>
      </c>
      <c r="F120" s="79" t="s">
        <v>392</v>
      </c>
    </row>
    <row r="123" spans="1:7" ht="15.95" thickBot="1">
      <c r="A123" t="s">
        <v>287</v>
      </c>
    </row>
    <row r="124" spans="1:7" ht="15.95" thickBot="1">
      <c r="B124" s="50" t="s">
        <v>81</v>
      </c>
      <c r="C124" s="50" t="s">
        <v>82</v>
      </c>
      <c r="D124" s="50" t="s">
        <v>393</v>
      </c>
      <c r="E124" s="50" t="s">
        <v>394</v>
      </c>
      <c r="F124" s="50" t="s">
        <v>395</v>
      </c>
      <c r="G124" s="50" t="s">
        <v>396</v>
      </c>
    </row>
    <row r="125" spans="1:7">
      <c r="B125" s="78" t="s">
        <v>292</v>
      </c>
      <c r="C125" s="78" t="s">
        <v>293</v>
      </c>
      <c r="D125" s="78">
        <v>490653.6779764212</v>
      </c>
      <c r="E125" s="78" t="s">
        <v>397</v>
      </c>
      <c r="F125" s="78" t="s">
        <v>398</v>
      </c>
      <c r="G125" s="78">
        <v>109346.3220235788</v>
      </c>
    </row>
    <row r="126" spans="1:7">
      <c r="B126" s="78" t="s">
        <v>294</v>
      </c>
      <c r="C126" s="78" t="s">
        <v>295</v>
      </c>
      <c r="D126" s="78">
        <v>264000</v>
      </c>
      <c r="E126" s="78" t="s">
        <v>399</v>
      </c>
      <c r="F126" s="78" t="s">
        <v>400</v>
      </c>
      <c r="G126" s="78">
        <v>0</v>
      </c>
    </row>
    <row r="127" spans="1:7">
      <c r="B127" s="78" t="s">
        <v>296</v>
      </c>
      <c r="C127" s="78" t="s">
        <v>297</v>
      </c>
      <c r="D127" s="78">
        <v>0</v>
      </c>
      <c r="E127" s="78" t="s">
        <v>401</v>
      </c>
      <c r="F127" s="78" t="s">
        <v>398</v>
      </c>
      <c r="G127" s="78">
        <v>264000</v>
      </c>
    </row>
    <row r="128" spans="1:7">
      <c r="B128" s="78" t="s">
        <v>298</v>
      </c>
      <c r="C128" s="78" t="s">
        <v>299</v>
      </c>
      <c r="D128" s="78">
        <v>96000.000000000015</v>
      </c>
      <c r="E128" s="78" t="s">
        <v>402</v>
      </c>
      <c r="F128" s="78" t="s">
        <v>400</v>
      </c>
      <c r="G128" s="78">
        <v>0</v>
      </c>
    </row>
    <row r="129" spans="2:7">
      <c r="B129" s="78" t="s">
        <v>300</v>
      </c>
      <c r="C129" s="78" t="s">
        <v>301</v>
      </c>
      <c r="D129" s="78">
        <v>0</v>
      </c>
      <c r="E129" s="78" t="s">
        <v>403</v>
      </c>
      <c r="F129" s="78" t="s">
        <v>398</v>
      </c>
      <c r="G129" s="78">
        <v>96000</v>
      </c>
    </row>
    <row r="130" spans="2:7">
      <c r="B130" s="78" t="s">
        <v>302</v>
      </c>
      <c r="C130" s="78" t="s">
        <v>303</v>
      </c>
      <c r="D130" s="78">
        <v>264000</v>
      </c>
      <c r="E130" s="78" t="s">
        <v>404</v>
      </c>
      <c r="F130" s="78" t="s">
        <v>400</v>
      </c>
      <c r="G130" s="78">
        <v>0</v>
      </c>
    </row>
    <row r="131" spans="2:7">
      <c r="B131" s="78" t="s">
        <v>304</v>
      </c>
      <c r="C131" s="78" t="s">
        <v>305</v>
      </c>
      <c r="D131" s="78">
        <v>0</v>
      </c>
      <c r="E131" s="78" t="s">
        <v>405</v>
      </c>
      <c r="F131" s="78" t="s">
        <v>398</v>
      </c>
      <c r="G131" s="78">
        <v>264000</v>
      </c>
    </row>
    <row r="132" spans="2:7">
      <c r="B132" s="78" t="s">
        <v>306</v>
      </c>
      <c r="C132" s="78" t="s">
        <v>307</v>
      </c>
      <c r="D132" s="78">
        <v>108000.00000000003</v>
      </c>
      <c r="E132" s="78" t="s">
        <v>406</v>
      </c>
      <c r="F132" s="78" t="s">
        <v>400</v>
      </c>
      <c r="G132" s="78">
        <v>0</v>
      </c>
    </row>
    <row r="133" spans="2:7">
      <c r="B133" s="78" t="s">
        <v>308</v>
      </c>
      <c r="C133" s="78" t="s">
        <v>309</v>
      </c>
      <c r="D133" s="78">
        <v>0</v>
      </c>
      <c r="E133" s="78" t="s">
        <v>407</v>
      </c>
      <c r="F133" s="78" t="s">
        <v>398</v>
      </c>
      <c r="G133" s="78">
        <v>108000</v>
      </c>
    </row>
    <row r="134" spans="2:7">
      <c r="B134" s="78" t="s">
        <v>310</v>
      </c>
      <c r="C134" s="78" t="s">
        <v>311</v>
      </c>
      <c r="D134" s="78">
        <v>264000</v>
      </c>
      <c r="E134" s="78" t="s">
        <v>408</v>
      </c>
      <c r="F134" s="78" t="s">
        <v>400</v>
      </c>
      <c r="G134" s="78">
        <v>0</v>
      </c>
    </row>
    <row r="135" spans="2:7">
      <c r="B135" s="78" t="s">
        <v>312</v>
      </c>
      <c r="C135" s="78" t="s">
        <v>313</v>
      </c>
      <c r="D135" s="78">
        <v>264000.00000000006</v>
      </c>
      <c r="E135" s="78" t="s">
        <v>409</v>
      </c>
      <c r="F135" s="78" t="s">
        <v>400</v>
      </c>
      <c r="G135" s="78">
        <v>0</v>
      </c>
    </row>
    <row r="136" spans="2:7">
      <c r="B136" s="78" t="s">
        <v>314</v>
      </c>
      <c r="C136" s="78" t="s">
        <v>315</v>
      </c>
      <c r="D136" s="78">
        <v>108000.00000000003</v>
      </c>
      <c r="E136" s="78" t="s">
        <v>410</v>
      </c>
      <c r="F136" s="78" t="s">
        <v>400</v>
      </c>
      <c r="G136" s="78">
        <v>0</v>
      </c>
    </row>
    <row r="137" spans="2:7">
      <c r="B137" s="78" t="s">
        <v>316</v>
      </c>
      <c r="C137" s="78" t="s">
        <v>317</v>
      </c>
      <c r="D137" s="78">
        <v>0</v>
      </c>
      <c r="E137" s="78" t="s">
        <v>411</v>
      </c>
      <c r="F137" s="78" t="s">
        <v>398</v>
      </c>
      <c r="G137" s="78">
        <v>108000</v>
      </c>
    </row>
    <row r="138" spans="2:7">
      <c r="B138" s="78" t="s">
        <v>318</v>
      </c>
      <c r="C138" s="78" t="s">
        <v>319</v>
      </c>
      <c r="D138" s="78">
        <v>263999.99999999994</v>
      </c>
      <c r="E138" s="78" t="s">
        <v>412</v>
      </c>
      <c r="F138" s="78" t="s">
        <v>400</v>
      </c>
      <c r="G138" s="78">
        <v>0</v>
      </c>
    </row>
    <row r="139" spans="2:7">
      <c r="B139" s="78" t="s">
        <v>320</v>
      </c>
      <c r="C139" s="78" t="s">
        <v>321</v>
      </c>
      <c r="D139" s="78">
        <v>263999.99999999994</v>
      </c>
      <c r="E139" s="78" t="s">
        <v>413</v>
      </c>
      <c r="F139" s="78" t="s">
        <v>400</v>
      </c>
      <c r="G139" s="78">
        <v>0</v>
      </c>
    </row>
    <row r="140" spans="2:7">
      <c r="B140" s="78" t="s">
        <v>322</v>
      </c>
      <c r="C140" s="78" t="s">
        <v>323</v>
      </c>
      <c r="D140" s="78">
        <v>95999.999999999985</v>
      </c>
      <c r="E140" s="78" t="s">
        <v>414</v>
      </c>
      <c r="F140" s="78" t="s">
        <v>400</v>
      </c>
      <c r="G140" s="78">
        <v>0</v>
      </c>
    </row>
    <row r="141" spans="2:7">
      <c r="B141" s="78" t="s">
        <v>324</v>
      </c>
      <c r="C141" s="78" t="s">
        <v>325</v>
      </c>
      <c r="D141" s="78">
        <v>0</v>
      </c>
      <c r="E141" s="78" t="s">
        <v>415</v>
      </c>
      <c r="F141" s="78" t="s">
        <v>398</v>
      </c>
      <c r="G141" s="78">
        <v>96000</v>
      </c>
    </row>
    <row r="142" spans="2:7">
      <c r="B142" s="78" t="s">
        <v>326</v>
      </c>
      <c r="C142" s="78" t="s">
        <v>327</v>
      </c>
      <c r="D142" s="78">
        <v>251999.99999999994</v>
      </c>
      <c r="E142" s="78" t="s">
        <v>416</v>
      </c>
      <c r="F142" s="78" t="s">
        <v>400</v>
      </c>
      <c r="G142" s="78">
        <v>0</v>
      </c>
    </row>
    <row r="143" spans="2:7">
      <c r="B143" s="78" t="s">
        <v>328</v>
      </c>
      <c r="C143" s="78" t="s">
        <v>329</v>
      </c>
      <c r="D143" s="78">
        <v>251999.99999999994</v>
      </c>
      <c r="E143" s="78" t="s">
        <v>417</v>
      </c>
      <c r="F143" s="78" t="s">
        <v>400</v>
      </c>
      <c r="G143" s="78">
        <v>0</v>
      </c>
    </row>
    <row r="144" spans="2:7">
      <c r="B144" s="78" t="s">
        <v>330</v>
      </c>
      <c r="C144" s="78" t="s">
        <v>331</v>
      </c>
      <c r="D144" s="78">
        <v>119999.99999999997</v>
      </c>
      <c r="E144" s="78" t="s">
        <v>418</v>
      </c>
      <c r="F144" s="78" t="s">
        <v>400</v>
      </c>
      <c r="G144" s="78">
        <v>0</v>
      </c>
    </row>
    <row r="145" spans="2:7">
      <c r="B145" s="78" t="s">
        <v>332</v>
      </c>
      <c r="C145" s="78" t="s">
        <v>333</v>
      </c>
      <c r="D145" s="78">
        <v>119999.99999999997</v>
      </c>
      <c r="E145" s="78" t="s">
        <v>419</v>
      </c>
      <c r="F145" s="78" t="s">
        <v>400</v>
      </c>
      <c r="G145" s="78">
        <v>0</v>
      </c>
    </row>
    <row r="146" spans="2:7">
      <c r="B146" s="78" t="s">
        <v>334</v>
      </c>
      <c r="C146" s="78" t="s">
        <v>335</v>
      </c>
      <c r="D146" s="78">
        <v>9000.00000000002</v>
      </c>
      <c r="E146" s="78" t="s">
        <v>420</v>
      </c>
      <c r="F146" s="78" t="s">
        <v>400</v>
      </c>
      <c r="G146" s="78">
        <v>0</v>
      </c>
    </row>
    <row r="147" spans="2:7">
      <c r="B147" s="78" t="s">
        <v>336</v>
      </c>
      <c r="C147" s="78" t="s">
        <v>337</v>
      </c>
      <c r="D147" s="78">
        <v>0</v>
      </c>
      <c r="E147" s="78" t="s">
        <v>421</v>
      </c>
      <c r="F147" s="78" t="s">
        <v>400</v>
      </c>
      <c r="G147" s="78">
        <v>0</v>
      </c>
    </row>
    <row r="148" spans="2:7">
      <c r="B148" s="78" t="s">
        <v>338</v>
      </c>
      <c r="C148" s="78" t="s">
        <v>339</v>
      </c>
      <c r="D148" s="78">
        <v>0</v>
      </c>
      <c r="E148" s="78" t="s">
        <v>422</v>
      </c>
      <c r="F148" s="78" t="s">
        <v>400</v>
      </c>
      <c r="G148" s="78">
        <v>0</v>
      </c>
    </row>
    <row r="149" spans="2:7">
      <c r="B149" s="78" t="s">
        <v>340</v>
      </c>
      <c r="C149" s="78" t="s">
        <v>341</v>
      </c>
      <c r="D149" s="78">
        <v>0</v>
      </c>
      <c r="E149" s="78" t="s">
        <v>423</v>
      </c>
      <c r="F149" s="78" t="s">
        <v>400</v>
      </c>
      <c r="G149" s="78">
        <v>0</v>
      </c>
    </row>
    <row r="150" spans="2:7">
      <c r="B150" s="78" t="s">
        <v>342</v>
      </c>
      <c r="C150" s="78" t="s">
        <v>343</v>
      </c>
      <c r="D150" s="78">
        <v>0</v>
      </c>
      <c r="E150" s="78" t="s">
        <v>424</v>
      </c>
      <c r="F150" s="78" t="s">
        <v>400</v>
      </c>
      <c r="G150" s="78">
        <v>0</v>
      </c>
    </row>
    <row r="151" spans="2:7">
      <c r="B151" s="78" t="s">
        <v>344</v>
      </c>
      <c r="C151" s="78" t="s">
        <v>345</v>
      </c>
      <c r="D151" s="78">
        <v>0</v>
      </c>
      <c r="E151" s="78" t="s">
        <v>425</v>
      </c>
      <c r="F151" s="78" t="s">
        <v>400</v>
      </c>
      <c r="G151" s="78">
        <v>0</v>
      </c>
    </row>
    <row r="152" spans="2:7">
      <c r="B152" s="78" t="s">
        <v>346</v>
      </c>
      <c r="C152" s="78" t="s">
        <v>347</v>
      </c>
      <c r="D152" s="78">
        <v>0</v>
      </c>
      <c r="E152" s="78" t="s">
        <v>426</v>
      </c>
      <c r="F152" s="78" t="s">
        <v>400</v>
      </c>
      <c r="G152" s="78">
        <v>0</v>
      </c>
    </row>
    <row r="153" spans="2:7">
      <c r="B153" s="78" t="s">
        <v>348</v>
      </c>
      <c r="C153" s="78" t="s">
        <v>349</v>
      </c>
      <c r="D153" s="78">
        <v>0</v>
      </c>
      <c r="E153" s="78" t="s">
        <v>427</v>
      </c>
      <c r="F153" s="78" t="s">
        <v>400</v>
      </c>
      <c r="G153" s="78">
        <v>0</v>
      </c>
    </row>
    <row r="154" spans="2:7">
      <c r="B154" s="78" t="s">
        <v>350</v>
      </c>
      <c r="C154" s="78" t="s">
        <v>351</v>
      </c>
      <c r="D154" s="78">
        <v>0</v>
      </c>
      <c r="E154" s="78" t="s">
        <v>428</v>
      </c>
      <c r="F154" s="78" t="s">
        <v>400</v>
      </c>
      <c r="G154" s="78">
        <v>0</v>
      </c>
    </row>
    <row r="155" spans="2:7">
      <c r="B155" s="78" t="s">
        <v>352</v>
      </c>
      <c r="C155" s="78" t="s">
        <v>353</v>
      </c>
      <c r="D155" s="78">
        <v>0</v>
      </c>
      <c r="E155" s="78" t="s">
        <v>429</v>
      </c>
      <c r="F155" s="78" t="s">
        <v>400</v>
      </c>
      <c r="G155" s="78">
        <v>0</v>
      </c>
    </row>
    <row r="156" spans="2:7">
      <c r="B156" s="78" t="s">
        <v>354</v>
      </c>
      <c r="C156" s="78" t="s">
        <v>355</v>
      </c>
      <c r="D156" s="78">
        <v>0</v>
      </c>
      <c r="E156" s="78" t="s">
        <v>430</v>
      </c>
      <c r="F156" s="78" t="s">
        <v>400</v>
      </c>
      <c r="G156" s="78">
        <v>0</v>
      </c>
    </row>
    <row r="157" spans="2:7">
      <c r="B157" s="78" t="s">
        <v>356</v>
      </c>
      <c r="C157" s="78" t="s">
        <v>357</v>
      </c>
      <c r="D157" s="78">
        <v>0</v>
      </c>
      <c r="E157" s="78" t="s">
        <v>431</v>
      </c>
      <c r="F157" s="78" t="s">
        <v>400</v>
      </c>
      <c r="G157" s="78">
        <v>0</v>
      </c>
    </row>
    <row r="158" spans="2:7">
      <c r="B158" s="78" t="s">
        <v>358</v>
      </c>
      <c r="C158" s="78" t="s">
        <v>359</v>
      </c>
      <c r="D158" s="78">
        <v>0</v>
      </c>
      <c r="E158" s="78" t="s">
        <v>432</v>
      </c>
      <c r="F158" s="78" t="s">
        <v>400</v>
      </c>
      <c r="G158" s="78">
        <v>0</v>
      </c>
    </row>
    <row r="159" spans="2:7">
      <c r="B159" s="78" t="s">
        <v>360</v>
      </c>
      <c r="C159" s="78" t="s">
        <v>361</v>
      </c>
      <c r="D159" s="78">
        <v>0</v>
      </c>
      <c r="E159" s="78" t="s">
        <v>433</v>
      </c>
      <c r="F159" s="78" t="s">
        <v>400</v>
      </c>
      <c r="G159" s="78">
        <v>0</v>
      </c>
    </row>
    <row r="160" spans="2:7">
      <c r="B160" s="78" t="s">
        <v>362</v>
      </c>
      <c r="C160" s="78" t="s">
        <v>363</v>
      </c>
      <c r="D160" s="78">
        <v>0</v>
      </c>
      <c r="E160" s="78" t="s">
        <v>434</v>
      </c>
      <c r="F160" s="78" t="s">
        <v>400</v>
      </c>
      <c r="G160" s="78">
        <v>0</v>
      </c>
    </row>
    <row r="161" spans="2:7">
      <c r="B161" s="78" t="s">
        <v>364</v>
      </c>
      <c r="C161" s="78" t="s">
        <v>365</v>
      </c>
      <c r="D161" s="78">
        <v>0</v>
      </c>
      <c r="E161" s="78" t="s">
        <v>435</v>
      </c>
      <c r="F161" s="78" t="s">
        <v>400</v>
      </c>
      <c r="G161" s="78">
        <v>0</v>
      </c>
    </row>
    <row r="162" spans="2:7">
      <c r="B162" s="78" t="s">
        <v>366</v>
      </c>
      <c r="C162" s="78" t="s">
        <v>367</v>
      </c>
      <c r="D162" s="78">
        <v>0</v>
      </c>
      <c r="E162" s="78" t="s">
        <v>436</v>
      </c>
      <c r="F162" s="78" t="s">
        <v>400</v>
      </c>
      <c r="G162" s="78">
        <v>0</v>
      </c>
    </row>
    <row r="163" spans="2:7">
      <c r="B163" s="78" t="s">
        <v>368</v>
      </c>
      <c r="C163" s="78" t="s">
        <v>369</v>
      </c>
      <c r="D163" s="78">
        <v>0</v>
      </c>
      <c r="E163" s="78" t="s">
        <v>437</v>
      </c>
      <c r="F163" s="78" t="s">
        <v>400</v>
      </c>
      <c r="G163" s="78">
        <v>0</v>
      </c>
    </row>
    <row r="164" spans="2:7">
      <c r="B164" s="78" t="s">
        <v>370</v>
      </c>
      <c r="C164" s="78" t="s">
        <v>371</v>
      </c>
      <c r="D164" s="78">
        <v>0</v>
      </c>
      <c r="E164" s="78" t="s">
        <v>438</v>
      </c>
      <c r="F164" s="78" t="s">
        <v>400</v>
      </c>
      <c r="G164" s="78">
        <v>0</v>
      </c>
    </row>
    <row r="165" spans="2:7">
      <c r="B165" s="78" t="s">
        <v>372</v>
      </c>
      <c r="C165" s="78" t="s">
        <v>373</v>
      </c>
      <c r="D165" s="78">
        <v>0</v>
      </c>
      <c r="E165" s="78" t="s">
        <v>439</v>
      </c>
      <c r="F165" s="78" t="s">
        <v>400</v>
      </c>
      <c r="G165" s="78">
        <v>0</v>
      </c>
    </row>
    <row r="166" spans="2:7">
      <c r="B166" s="78" t="s">
        <v>374</v>
      </c>
      <c r="C166" s="78" t="s">
        <v>375</v>
      </c>
      <c r="D166" s="78">
        <v>0</v>
      </c>
      <c r="E166" s="78" t="s">
        <v>440</v>
      </c>
      <c r="F166" s="78" t="s">
        <v>400</v>
      </c>
      <c r="G166" s="78">
        <v>0</v>
      </c>
    </row>
    <row r="167" spans="2:7">
      <c r="B167" s="78" t="s">
        <v>89</v>
      </c>
      <c r="C167" s="78" t="s">
        <v>90</v>
      </c>
      <c r="D167" s="78">
        <v>0</v>
      </c>
      <c r="E167" s="78" t="s">
        <v>441</v>
      </c>
      <c r="F167" s="78" t="s">
        <v>400</v>
      </c>
      <c r="G167" s="78">
        <v>0</v>
      </c>
    </row>
    <row r="168" spans="2:7">
      <c r="B168" s="78" t="s">
        <v>91</v>
      </c>
      <c r="C168" s="78" t="s">
        <v>92</v>
      </c>
      <c r="D168" s="78">
        <v>0</v>
      </c>
      <c r="E168" s="78" t="s">
        <v>442</v>
      </c>
      <c r="F168" s="78" t="s">
        <v>400</v>
      </c>
      <c r="G168" s="78">
        <v>0</v>
      </c>
    </row>
    <row r="169" spans="2:7">
      <c r="B169" s="78" t="s">
        <v>93</v>
      </c>
      <c r="C169" s="78" t="s">
        <v>94</v>
      </c>
      <c r="D169" s="78">
        <v>0</v>
      </c>
      <c r="E169" s="78" t="s">
        <v>443</v>
      </c>
      <c r="F169" s="78" t="s">
        <v>400</v>
      </c>
      <c r="G169" s="78">
        <v>0</v>
      </c>
    </row>
    <row r="170" spans="2:7">
      <c r="B170" s="78" t="s">
        <v>99</v>
      </c>
      <c r="C170" s="78" t="s">
        <v>100</v>
      </c>
      <c r="D170" s="78">
        <v>0</v>
      </c>
      <c r="E170" s="78" t="s">
        <v>444</v>
      </c>
      <c r="F170" s="78" t="s">
        <v>400</v>
      </c>
      <c r="G170" s="78">
        <v>0</v>
      </c>
    </row>
    <row r="171" spans="2:7">
      <c r="B171" s="78" t="s">
        <v>101</v>
      </c>
      <c r="C171" s="78" t="s">
        <v>102</v>
      </c>
      <c r="D171" s="78">
        <v>0</v>
      </c>
      <c r="E171" s="78" t="s">
        <v>445</v>
      </c>
      <c r="F171" s="78" t="s">
        <v>400</v>
      </c>
      <c r="G171" s="78">
        <v>0</v>
      </c>
    </row>
    <row r="172" spans="2:7">
      <c r="B172" s="78" t="s">
        <v>103</v>
      </c>
      <c r="C172" s="78" t="s">
        <v>104</v>
      </c>
      <c r="D172" s="78">
        <v>0</v>
      </c>
      <c r="E172" s="78" t="s">
        <v>446</v>
      </c>
      <c r="F172" s="78" t="s">
        <v>400</v>
      </c>
      <c r="G172" s="78">
        <v>0</v>
      </c>
    </row>
    <row r="173" spans="2:7">
      <c r="B173" s="78" t="s">
        <v>109</v>
      </c>
      <c r="C173" s="78" t="s">
        <v>110</v>
      </c>
      <c r="D173" s="78">
        <v>0</v>
      </c>
      <c r="E173" s="78" t="s">
        <v>447</v>
      </c>
      <c r="F173" s="78" t="s">
        <v>400</v>
      </c>
      <c r="G173" s="78">
        <v>0</v>
      </c>
    </row>
    <row r="174" spans="2:7">
      <c r="B174" s="78" t="s">
        <v>111</v>
      </c>
      <c r="C174" s="78" t="s">
        <v>112</v>
      </c>
      <c r="D174" s="78">
        <v>0</v>
      </c>
      <c r="E174" s="78" t="s">
        <v>448</v>
      </c>
      <c r="F174" s="78" t="s">
        <v>400</v>
      </c>
      <c r="G174" s="78">
        <v>0</v>
      </c>
    </row>
    <row r="175" spans="2:7">
      <c r="B175" s="78" t="s">
        <v>113</v>
      </c>
      <c r="C175" s="78" t="s">
        <v>114</v>
      </c>
      <c r="D175" s="78">
        <v>0</v>
      </c>
      <c r="E175" s="78" t="s">
        <v>449</v>
      </c>
      <c r="F175" s="78" t="s">
        <v>400</v>
      </c>
      <c r="G175" s="78">
        <v>0</v>
      </c>
    </row>
    <row r="176" spans="2:7">
      <c r="B176" s="78" t="s">
        <v>119</v>
      </c>
      <c r="C176" s="78" t="s">
        <v>120</v>
      </c>
      <c r="D176" s="78">
        <v>0</v>
      </c>
      <c r="E176" s="78" t="s">
        <v>450</v>
      </c>
      <c r="F176" s="78" t="s">
        <v>400</v>
      </c>
      <c r="G176" s="78">
        <v>0</v>
      </c>
    </row>
    <row r="177" spans="2:7">
      <c r="B177" s="78" t="s">
        <v>121</v>
      </c>
      <c r="C177" s="78" t="s">
        <v>122</v>
      </c>
      <c r="D177" s="78">
        <v>0</v>
      </c>
      <c r="E177" s="78" t="s">
        <v>451</v>
      </c>
      <c r="F177" s="78" t="s">
        <v>400</v>
      </c>
      <c r="G177" s="78">
        <v>0</v>
      </c>
    </row>
    <row r="178" spans="2:7">
      <c r="B178" s="78" t="s">
        <v>123</v>
      </c>
      <c r="C178" s="78" t="s">
        <v>124</v>
      </c>
      <c r="D178" s="78">
        <v>0</v>
      </c>
      <c r="E178" s="78" t="s">
        <v>452</v>
      </c>
      <c r="F178" s="78" t="s">
        <v>400</v>
      </c>
      <c r="G178" s="78">
        <v>0</v>
      </c>
    </row>
    <row r="179" spans="2:7">
      <c r="B179" s="78" t="s">
        <v>129</v>
      </c>
      <c r="C179" s="78" t="s">
        <v>130</v>
      </c>
      <c r="D179" s="78">
        <v>0</v>
      </c>
      <c r="E179" s="78" t="s">
        <v>453</v>
      </c>
      <c r="F179" s="78" t="s">
        <v>400</v>
      </c>
      <c r="G179" s="78">
        <v>0</v>
      </c>
    </row>
    <row r="180" spans="2:7">
      <c r="B180" s="78" t="s">
        <v>131</v>
      </c>
      <c r="C180" s="78" t="s">
        <v>132</v>
      </c>
      <c r="D180" s="78">
        <v>0</v>
      </c>
      <c r="E180" s="78" t="s">
        <v>454</v>
      </c>
      <c r="F180" s="78" t="s">
        <v>400</v>
      </c>
      <c r="G180" s="78">
        <v>0</v>
      </c>
    </row>
    <row r="181" spans="2:7">
      <c r="B181" s="78" t="s">
        <v>133</v>
      </c>
      <c r="C181" s="78" t="s">
        <v>134</v>
      </c>
      <c r="D181" s="78">
        <v>0</v>
      </c>
      <c r="E181" s="78" t="s">
        <v>455</v>
      </c>
      <c r="F181" s="78" t="s">
        <v>400</v>
      </c>
      <c r="G181" s="78">
        <v>0</v>
      </c>
    </row>
    <row r="182" spans="2:7">
      <c r="B182" s="78" t="s">
        <v>139</v>
      </c>
      <c r="C182" s="78" t="s">
        <v>140</v>
      </c>
      <c r="D182" s="78">
        <v>0</v>
      </c>
      <c r="E182" s="78" t="s">
        <v>456</v>
      </c>
      <c r="F182" s="78" t="s">
        <v>400</v>
      </c>
      <c r="G182" s="78">
        <v>0</v>
      </c>
    </row>
    <row r="183" spans="2:7">
      <c r="B183" s="78" t="s">
        <v>141</v>
      </c>
      <c r="C183" s="78" t="s">
        <v>142</v>
      </c>
      <c r="D183" s="78">
        <v>0</v>
      </c>
      <c r="E183" s="78" t="s">
        <v>457</v>
      </c>
      <c r="F183" s="78" t="s">
        <v>400</v>
      </c>
      <c r="G183" s="78">
        <v>0</v>
      </c>
    </row>
    <row r="184" spans="2:7">
      <c r="B184" s="78" t="s">
        <v>143</v>
      </c>
      <c r="C184" s="78" t="s">
        <v>144</v>
      </c>
      <c r="D184" s="78">
        <v>0</v>
      </c>
      <c r="E184" s="78" t="s">
        <v>458</v>
      </c>
      <c r="F184" s="78" t="s">
        <v>400</v>
      </c>
      <c r="G184" s="78">
        <v>0</v>
      </c>
    </row>
    <row r="185" spans="2:7">
      <c r="B185" s="78" t="s">
        <v>149</v>
      </c>
      <c r="C185" s="78" t="s">
        <v>150</v>
      </c>
      <c r="D185" s="78">
        <v>0</v>
      </c>
      <c r="E185" s="78" t="s">
        <v>459</v>
      </c>
      <c r="F185" s="78" t="s">
        <v>400</v>
      </c>
      <c r="G185" s="78">
        <v>0</v>
      </c>
    </row>
    <row r="186" spans="2:7">
      <c r="B186" s="78" t="s">
        <v>151</v>
      </c>
      <c r="C186" s="78" t="s">
        <v>152</v>
      </c>
      <c r="D186" s="78">
        <v>0</v>
      </c>
      <c r="E186" s="78" t="s">
        <v>460</v>
      </c>
      <c r="F186" s="78" t="s">
        <v>400</v>
      </c>
      <c r="G186" s="78">
        <v>0</v>
      </c>
    </row>
    <row r="187" spans="2:7">
      <c r="B187" s="78" t="s">
        <v>153</v>
      </c>
      <c r="C187" s="78" t="s">
        <v>154</v>
      </c>
      <c r="D187" s="78">
        <v>0</v>
      </c>
      <c r="E187" s="78" t="s">
        <v>461</v>
      </c>
      <c r="F187" s="78" t="s">
        <v>400</v>
      </c>
      <c r="G187" s="78">
        <v>0</v>
      </c>
    </row>
    <row r="188" spans="2:7">
      <c r="B188" s="78" t="s">
        <v>159</v>
      </c>
      <c r="C188" s="78" t="s">
        <v>160</v>
      </c>
      <c r="D188" s="78">
        <v>0</v>
      </c>
      <c r="E188" s="78" t="s">
        <v>462</v>
      </c>
      <c r="F188" s="78" t="s">
        <v>400</v>
      </c>
      <c r="G188" s="78">
        <v>0</v>
      </c>
    </row>
    <row r="189" spans="2:7">
      <c r="B189" s="78" t="s">
        <v>161</v>
      </c>
      <c r="C189" s="78" t="s">
        <v>162</v>
      </c>
      <c r="D189" s="78">
        <v>0</v>
      </c>
      <c r="E189" s="78" t="s">
        <v>463</v>
      </c>
      <c r="F189" s="78" t="s">
        <v>400</v>
      </c>
      <c r="G189" s="78">
        <v>0</v>
      </c>
    </row>
    <row r="190" spans="2:7">
      <c r="B190" s="78" t="s">
        <v>163</v>
      </c>
      <c r="C190" s="78" t="s">
        <v>164</v>
      </c>
      <c r="D190" s="78">
        <v>0</v>
      </c>
      <c r="E190" s="78" t="s">
        <v>464</v>
      </c>
      <c r="F190" s="78" t="s">
        <v>400</v>
      </c>
      <c r="G190" s="78">
        <v>0</v>
      </c>
    </row>
    <row r="191" spans="2:7">
      <c r="B191" s="78" t="s">
        <v>169</v>
      </c>
      <c r="C191" s="78" t="s">
        <v>170</v>
      </c>
      <c r="D191" s="78">
        <v>0</v>
      </c>
      <c r="E191" s="78" t="s">
        <v>465</v>
      </c>
      <c r="F191" s="78" t="s">
        <v>400</v>
      </c>
      <c r="G191" s="78">
        <v>0</v>
      </c>
    </row>
    <row r="192" spans="2:7">
      <c r="B192" s="78" t="s">
        <v>171</v>
      </c>
      <c r="C192" s="78" t="s">
        <v>172</v>
      </c>
      <c r="D192" s="78">
        <v>0</v>
      </c>
      <c r="E192" s="78" t="s">
        <v>466</v>
      </c>
      <c r="F192" s="78" t="s">
        <v>400</v>
      </c>
      <c r="G192" s="78">
        <v>0</v>
      </c>
    </row>
    <row r="193" spans="2:7">
      <c r="B193" s="78" t="s">
        <v>173</v>
      </c>
      <c r="C193" s="78" t="s">
        <v>174</v>
      </c>
      <c r="D193" s="78">
        <v>0</v>
      </c>
      <c r="E193" s="78" t="s">
        <v>467</v>
      </c>
      <c r="F193" s="78" t="s">
        <v>400</v>
      </c>
      <c r="G193" s="78">
        <v>0</v>
      </c>
    </row>
    <row r="194" spans="2:7">
      <c r="B194" s="78" t="s">
        <v>179</v>
      </c>
      <c r="C194" s="78" t="s">
        <v>180</v>
      </c>
      <c r="D194" s="78">
        <v>0</v>
      </c>
      <c r="E194" s="78" t="s">
        <v>468</v>
      </c>
      <c r="F194" s="78" t="s">
        <v>400</v>
      </c>
      <c r="G194" s="78">
        <v>0</v>
      </c>
    </row>
    <row r="195" spans="2:7">
      <c r="B195" s="78" t="s">
        <v>181</v>
      </c>
      <c r="C195" s="78" t="s">
        <v>182</v>
      </c>
      <c r="D195" s="78">
        <v>0</v>
      </c>
      <c r="E195" s="78" t="s">
        <v>469</v>
      </c>
      <c r="F195" s="78" t="s">
        <v>400</v>
      </c>
      <c r="G195" s="78">
        <v>0</v>
      </c>
    </row>
    <row r="196" spans="2:7">
      <c r="B196" s="78" t="s">
        <v>183</v>
      </c>
      <c r="C196" s="78" t="s">
        <v>184</v>
      </c>
      <c r="D196" s="78">
        <v>0</v>
      </c>
      <c r="E196" s="78" t="s">
        <v>470</v>
      </c>
      <c r="F196" s="78" t="s">
        <v>400</v>
      </c>
      <c r="G196" s="78">
        <v>0</v>
      </c>
    </row>
    <row r="197" spans="2:7">
      <c r="B197" s="78" t="s">
        <v>189</v>
      </c>
      <c r="C197" s="78" t="s">
        <v>190</v>
      </c>
      <c r="D197" s="78">
        <v>0</v>
      </c>
      <c r="E197" s="78" t="s">
        <v>471</v>
      </c>
      <c r="F197" s="78" t="s">
        <v>400</v>
      </c>
      <c r="G197" s="78">
        <v>0</v>
      </c>
    </row>
    <row r="198" spans="2:7">
      <c r="B198" s="78" t="s">
        <v>191</v>
      </c>
      <c r="C198" s="78" t="s">
        <v>192</v>
      </c>
      <c r="D198" s="78">
        <v>0</v>
      </c>
      <c r="E198" s="78" t="s">
        <v>472</v>
      </c>
      <c r="F198" s="78" t="s">
        <v>400</v>
      </c>
      <c r="G198" s="78">
        <v>0</v>
      </c>
    </row>
    <row r="199" spans="2:7">
      <c r="B199" s="78" t="s">
        <v>193</v>
      </c>
      <c r="C199" s="78" t="s">
        <v>194</v>
      </c>
      <c r="D199" s="78">
        <v>0</v>
      </c>
      <c r="E199" s="78" t="s">
        <v>473</v>
      </c>
      <c r="F199" s="78" t="s">
        <v>400</v>
      </c>
      <c r="G199" s="78">
        <v>0</v>
      </c>
    </row>
    <row r="200" spans="2:7">
      <c r="B200" s="78" t="s">
        <v>199</v>
      </c>
      <c r="C200" s="78" t="s">
        <v>200</v>
      </c>
      <c r="D200" s="78">
        <v>0</v>
      </c>
      <c r="E200" s="78" t="s">
        <v>474</v>
      </c>
      <c r="F200" s="78" t="s">
        <v>400</v>
      </c>
      <c r="G200" s="78">
        <v>0</v>
      </c>
    </row>
    <row r="201" spans="2:7">
      <c r="B201" s="78" t="s">
        <v>201</v>
      </c>
      <c r="C201" s="78" t="s">
        <v>202</v>
      </c>
      <c r="D201" s="78">
        <v>0</v>
      </c>
      <c r="E201" s="78" t="s">
        <v>475</v>
      </c>
      <c r="F201" s="78" t="s">
        <v>400</v>
      </c>
      <c r="G201" s="78">
        <v>0</v>
      </c>
    </row>
    <row r="202" spans="2:7" ht="15.95" thickBot="1">
      <c r="B202" s="79" t="s">
        <v>203</v>
      </c>
      <c r="C202" s="79" t="s">
        <v>204</v>
      </c>
      <c r="D202" s="79">
        <v>0</v>
      </c>
      <c r="E202" s="79" t="s">
        <v>476</v>
      </c>
      <c r="F202" s="79" t="s">
        <v>400</v>
      </c>
      <c r="G202" s="7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2FA1-39C8-3247-A2D3-91D6F4F74168}">
  <dimension ref="A5:AH49"/>
  <sheetViews>
    <sheetView topLeftCell="E4" workbookViewId="0">
      <selection activeCell="R27" sqref="R27"/>
    </sheetView>
  </sheetViews>
  <sheetFormatPr defaultColWidth="8.85546875" defaultRowHeight="15"/>
  <cols>
    <col min="1" max="1" width="24.85546875" customWidth="1"/>
    <col min="2" max="2" width="10" customWidth="1"/>
    <col min="3" max="3" width="10.85546875" customWidth="1"/>
    <col min="4" max="4" width="12.140625" customWidth="1"/>
    <col min="5" max="5" width="14" customWidth="1"/>
    <col min="6" max="6" width="22.7109375" customWidth="1"/>
    <col min="7" max="7" width="20.42578125" customWidth="1"/>
    <col min="8" max="8" width="14.140625" customWidth="1"/>
    <col min="9" max="9" width="15.7109375" hidden="1" customWidth="1"/>
    <col min="10" max="10" width="14" customWidth="1"/>
    <col min="11" max="11" width="12.28515625" customWidth="1"/>
    <col min="12" max="12" width="8.42578125" customWidth="1"/>
    <col min="13" max="13" width="10.28515625" customWidth="1"/>
    <col min="14" max="14" width="11.42578125" customWidth="1"/>
    <col min="15" max="15" width="14" customWidth="1"/>
    <col min="16" max="16" width="12.7109375" customWidth="1"/>
    <col min="17" max="17" width="12.140625" customWidth="1"/>
    <col min="18" max="18" width="12.7109375" customWidth="1"/>
    <col min="19" max="19" width="15" hidden="1" customWidth="1"/>
    <col min="20" max="20" width="12.28515625" customWidth="1"/>
    <col min="21" max="21" width="13.7109375" hidden="1" customWidth="1"/>
    <col min="22" max="22" width="18.28515625" hidden="1" customWidth="1"/>
    <col min="23" max="24" width="2.42578125" hidden="1" customWidth="1"/>
    <col min="25" max="25" width="10.85546875" customWidth="1"/>
    <col min="29" max="29" width="15.85546875" customWidth="1"/>
  </cols>
  <sheetData>
    <row r="5" spans="1:25" ht="15.95" thickBot="1"/>
    <row r="6" spans="1:25" ht="48.95" thickBot="1">
      <c r="A6" s="38" t="s">
        <v>0</v>
      </c>
      <c r="B6" s="39" t="s">
        <v>1</v>
      </c>
      <c r="C6" s="39" t="s">
        <v>2</v>
      </c>
      <c r="D6" s="39" t="s">
        <v>3</v>
      </c>
      <c r="E6" s="39" t="s">
        <v>4</v>
      </c>
      <c r="F6" s="39" t="s">
        <v>5</v>
      </c>
      <c r="G6" s="39" t="s">
        <v>6</v>
      </c>
      <c r="H6" s="40" t="s">
        <v>7</v>
      </c>
      <c r="I6" s="70" t="s">
        <v>8</v>
      </c>
      <c r="J6" s="38" t="s">
        <v>9</v>
      </c>
      <c r="K6" s="44" t="s">
        <v>10</v>
      </c>
      <c r="L6" s="44" t="s">
        <v>11</v>
      </c>
      <c r="M6" s="39" t="s">
        <v>12</v>
      </c>
      <c r="N6" s="39" t="s">
        <v>13</v>
      </c>
      <c r="O6" s="39" t="s">
        <v>14</v>
      </c>
      <c r="P6" s="39" t="s">
        <v>15</v>
      </c>
      <c r="Q6" s="39" t="s">
        <v>16</v>
      </c>
      <c r="R6" s="39" t="s">
        <v>17</v>
      </c>
      <c r="S6" s="39" t="s">
        <v>18</v>
      </c>
      <c r="T6" s="40" t="s">
        <v>19</v>
      </c>
      <c r="U6" s="71" t="s">
        <v>20</v>
      </c>
      <c r="V6" s="72" t="s">
        <v>21</v>
      </c>
      <c r="W6" s="41" t="s">
        <v>22</v>
      </c>
      <c r="X6" s="42"/>
      <c r="Y6" s="43" t="s">
        <v>23</v>
      </c>
    </row>
    <row r="7" spans="1:25">
      <c r="A7" s="24" t="s">
        <v>24</v>
      </c>
      <c r="B7" s="17">
        <v>264</v>
      </c>
      <c r="C7" s="17">
        <f>B7*1000</f>
        <v>264000</v>
      </c>
      <c r="D7" s="33">
        <v>94687.551890186543</v>
      </c>
      <c r="E7" s="33">
        <v>0</v>
      </c>
      <c r="F7" s="33">
        <v>0</v>
      </c>
      <c r="G7" s="33">
        <v>0</v>
      </c>
      <c r="H7" s="34">
        <v>15085.714285714288</v>
      </c>
      <c r="I7">
        <f t="shared" ref="I7:I26" si="0">SUMPRODUCT(D7:H7, N$31:R$31)</f>
        <v>2715428.5714285718</v>
      </c>
      <c r="J7" s="17">
        <f t="shared" ref="J7:J26" si="1">(SUMPRODUCT(D7:H7, N$31:R$31)*0.35)/3.6</f>
        <v>264000</v>
      </c>
      <c r="K7" s="17">
        <f t="shared" ref="K7:K26" si="2">($R$31*H7*0.35)/3.6</f>
        <v>26400</v>
      </c>
      <c r="L7" s="30">
        <f>VLOOKUP(A7,F29:G49,2,FALSE)</f>
        <v>36</v>
      </c>
      <c r="M7" s="17">
        <f>L7*J7</f>
        <v>9504000</v>
      </c>
      <c r="N7" s="17">
        <f t="shared" ref="N7:N26" si="3">45*($R$31*H7*0.35)/3.6</f>
        <v>1188000</v>
      </c>
      <c r="O7" s="17">
        <f t="shared" ref="O7:O26" si="4">SUMPRODUCT(D7:H7, N$31:R$31)*0.35*0.65/3.6</f>
        <v>171600.00000000003</v>
      </c>
      <c r="P7" s="17">
        <f t="shared" ref="P7:P26" si="5">SUMPRODUCT(D7:H7, N$30:R$30)</f>
        <v>5142775.3513034824</v>
      </c>
      <c r="Q7" s="17">
        <f>J7*0.8*0.87*20</f>
        <v>3674880</v>
      </c>
      <c r="R7" s="17">
        <f>IFERROR(M7+N7-O7-P7-Q7,0)</f>
        <v>1702744.6486965176</v>
      </c>
      <c r="S7" s="17">
        <f t="shared" ref="S7:S26" si="6">H7*$R$31</f>
        <v>271542.85714285716</v>
      </c>
      <c r="T7" s="17">
        <f t="shared" ref="T7:T26" si="7">SUMPRODUCT(D7:H7, N$32:R$32)*0.01</f>
        <v>1308.1967875131456</v>
      </c>
      <c r="U7">
        <f>IFERROR(S7/I7,0)</f>
        <v>9.9999999999999992E-2</v>
      </c>
      <c r="V7">
        <f>0.1*I7</f>
        <v>271542.85714285722</v>
      </c>
      <c r="W7">
        <f t="shared" ref="W7:W27" si="8">SUMPRODUCT($N$31:$Q$31,D7:G7)</f>
        <v>2443885.7142857146</v>
      </c>
      <c r="Y7" s="16">
        <f>K7-0.1*J7</f>
        <v>0</v>
      </c>
    </row>
    <row r="8" spans="1:25">
      <c r="A8" s="26" t="s">
        <v>25</v>
      </c>
      <c r="B8" s="16">
        <v>264</v>
      </c>
      <c r="C8" s="17">
        <f t="shared" ref="C8:C26" si="9">B8*1000</f>
        <v>264000</v>
      </c>
      <c r="D8" s="35">
        <v>0</v>
      </c>
      <c r="E8" s="35">
        <v>0</v>
      </c>
      <c r="F8" s="35">
        <v>0</v>
      </c>
      <c r="G8" s="35">
        <v>0</v>
      </c>
      <c r="H8" s="36">
        <v>0</v>
      </c>
      <c r="I8">
        <f t="shared" si="0"/>
        <v>0</v>
      </c>
      <c r="J8" s="17">
        <f t="shared" si="1"/>
        <v>0</v>
      </c>
      <c r="K8" s="16">
        <f t="shared" si="2"/>
        <v>0</v>
      </c>
      <c r="L8" s="30">
        <f t="shared" ref="L8:L26" si="10">VLOOKUP(A8,F30:G51,2,FALSE)</f>
        <v>27</v>
      </c>
      <c r="M8" s="17">
        <f t="shared" ref="M8:M26" si="11">L8*J8</f>
        <v>0</v>
      </c>
      <c r="N8" s="16">
        <f t="shared" si="3"/>
        <v>0</v>
      </c>
      <c r="O8" s="16">
        <f t="shared" si="4"/>
        <v>0</v>
      </c>
      <c r="P8" s="16">
        <f t="shared" si="5"/>
        <v>0</v>
      </c>
      <c r="Q8" s="17">
        <f t="shared" ref="Q8:Q26" si="12">J8*0.8*0.87*20</f>
        <v>0</v>
      </c>
      <c r="R8" s="16">
        <f t="shared" ref="R8:R26" si="13">IFERROR(M8+N8-O8-P8-Q8,0)</f>
        <v>0</v>
      </c>
      <c r="S8" s="16">
        <f t="shared" si="6"/>
        <v>0</v>
      </c>
      <c r="T8" s="16">
        <f t="shared" si="7"/>
        <v>0</v>
      </c>
      <c r="U8">
        <f t="shared" ref="U8:U26" si="14">IFERROR(S8/I8,0)</f>
        <v>0</v>
      </c>
      <c r="V8">
        <f t="shared" ref="V8:V26" si="15">0.1*I8</f>
        <v>0</v>
      </c>
      <c r="W8">
        <f t="shared" si="8"/>
        <v>0</v>
      </c>
      <c r="Y8" s="16">
        <f t="shared" ref="Y8:Y26" si="16">K8-0.1*J8</f>
        <v>0</v>
      </c>
    </row>
    <row r="9" spans="1:25">
      <c r="A9" s="26" t="s">
        <v>26</v>
      </c>
      <c r="B9" s="16">
        <v>96</v>
      </c>
      <c r="C9" s="17">
        <f t="shared" si="9"/>
        <v>96000</v>
      </c>
      <c r="D9" s="35">
        <v>34431.83705097693</v>
      </c>
      <c r="E9" s="35">
        <v>0</v>
      </c>
      <c r="F9" s="35">
        <v>0</v>
      </c>
      <c r="G9" s="35">
        <v>0</v>
      </c>
      <c r="H9" s="36">
        <v>5485.7142857142871</v>
      </c>
      <c r="I9">
        <f t="shared" si="0"/>
        <v>987428.57142857171</v>
      </c>
      <c r="J9" s="17">
        <f t="shared" si="1"/>
        <v>96000.000000000015</v>
      </c>
      <c r="K9" s="16">
        <f t="shared" si="2"/>
        <v>9600.0000000000018</v>
      </c>
      <c r="L9" s="30">
        <f t="shared" si="10"/>
        <v>33.5</v>
      </c>
      <c r="M9" s="17">
        <f t="shared" si="11"/>
        <v>3216000.0000000005</v>
      </c>
      <c r="N9" s="16">
        <f t="shared" si="3"/>
        <v>432000.00000000006</v>
      </c>
      <c r="O9" s="16">
        <f t="shared" si="4"/>
        <v>62400.000000000015</v>
      </c>
      <c r="P9" s="16">
        <f t="shared" si="5"/>
        <v>1870100.1277467213</v>
      </c>
      <c r="Q9" s="17">
        <f t="shared" si="12"/>
        <v>1336320.0000000002</v>
      </c>
      <c r="R9" s="16">
        <f t="shared" si="13"/>
        <v>379179.87225327897</v>
      </c>
      <c r="S9" s="16">
        <f t="shared" si="6"/>
        <v>98742.857142857174</v>
      </c>
      <c r="T9" s="16">
        <f t="shared" si="7"/>
        <v>475.70792273205308</v>
      </c>
      <c r="U9">
        <f t="shared" si="14"/>
        <v>0.1</v>
      </c>
      <c r="V9">
        <f t="shared" si="15"/>
        <v>98742.857142857174</v>
      </c>
      <c r="W9">
        <f t="shared" si="8"/>
        <v>888685.71428571455</v>
      </c>
      <c r="Y9" s="16">
        <f t="shared" si="16"/>
        <v>0</v>
      </c>
    </row>
    <row r="10" spans="1:25">
      <c r="A10" s="26" t="s">
        <v>27</v>
      </c>
      <c r="B10" s="16">
        <v>96</v>
      </c>
      <c r="C10" s="17">
        <f t="shared" si="9"/>
        <v>96000</v>
      </c>
      <c r="D10" s="35">
        <v>0</v>
      </c>
      <c r="E10" s="35">
        <v>0</v>
      </c>
      <c r="F10" s="35">
        <v>0</v>
      </c>
      <c r="G10" s="35">
        <v>0</v>
      </c>
      <c r="H10" s="36">
        <v>0</v>
      </c>
      <c r="I10">
        <f t="shared" si="0"/>
        <v>0</v>
      </c>
      <c r="J10" s="17">
        <f t="shared" si="1"/>
        <v>0</v>
      </c>
      <c r="K10" s="16">
        <f t="shared" si="2"/>
        <v>0</v>
      </c>
      <c r="L10" s="30">
        <f t="shared" si="10"/>
        <v>26.2</v>
      </c>
      <c r="M10" s="17">
        <f t="shared" si="11"/>
        <v>0</v>
      </c>
      <c r="N10" s="16">
        <f t="shared" si="3"/>
        <v>0</v>
      </c>
      <c r="O10" s="16">
        <f t="shared" si="4"/>
        <v>0</v>
      </c>
      <c r="P10" s="16">
        <f t="shared" si="5"/>
        <v>0</v>
      </c>
      <c r="Q10" s="17">
        <f t="shared" si="12"/>
        <v>0</v>
      </c>
      <c r="R10" s="16">
        <f t="shared" si="13"/>
        <v>0</v>
      </c>
      <c r="S10" s="16">
        <f t="shared" si="6"/>
        <v>0</v>
      </c>
      <c r="T10" s="16">
        <f t="shared" si="7"/>
        <v>0</v>
      </c>
      <c r="U10">
        <f t="shared" si="14"/>
        <v>0</v>
      </c>
      <c r="V10">
        <f t="shared" si="15"/>
        <v>0</v>
      </c>
      <c r="W10">
        <f t="shared" si="8"/>
        <v>0</v>
      </c>
      <c r="Y10" s="16">
        <f t="shared" si="16"/>
        <v>0</v>
      </c>
    </row>
    <row r="11" spans="1:25">
      <c r="A11" s="26" t="s">
        <v>28</v>
      </c>
      <c r="B11" s="16">
        <v>264</v>
      </c>
      <c r="C11" s="17">
        <f t="shared" si="9"/>
        <v>264000</v>
      </c>
      <c r="D11" s="35">
        <v>94687.551890186543</v>
      </c>
      <c r="E11" s="35">
        <v>0</v>
      </c>
      <c r="F11" s="35">
        <v>0</v>
      </c>
      <c r="G11" s="35">
        <v>0</v>
      </c>
      <c r="H11" s="36">
        <v>15085.714285714288</v>
      </c>
      <c r="I11">
        <f t="shared" si="0"/>
        <v>2715428.5714285718</v>
      </c>
      <c r="J11" s="17">
        <f t="shared" si="1"/>
        <v>264000</v>
      </c>
      <c r="K11" s="16">
        <f t="shared" si="2"/>
        <v>26400</v>
      </c>
      <c r="L11" s="30">
        <f t="shared" si="10"/>
        <v>36.35</v>
      </c>
      <c r="M11" s="17">
        <f t="shared" si="11"/>
        <v>9596400</v>
      </c>
      <c r="N11" s="16">
        <f t="shared" si="3"/>
        <v>1188000</v>
      </c>
      <c r="O11" s="16">
        <f t="shared" si="4"/>
        <v>171600.00000000003</v>
      </c>
      <c r="P11" s="16">
        <f t="shared" si="5"/>
        <v>5142775.3513034824</v>
      </c>
      <c r="Q11" s="17">
        <f t="shared" si="12"/>
        <v>3674880</v>
      </c>
      <c r="R11" s="16">
        <f t="shared" si="13"/>
        <v>1795144.6486965176</v>
      </c>
      <c r="S11" s="16">
        <f t="shared" si="6"/>
        <v>271542.85714285716</v>
      </c>
      <c r="T11" s="16">
        <f t="shared" si="7"/>
        <v>1308.1967875131456</v>
      </c>
      <c r="U11">
        <f t="shared" si="14"/>
        <v>9.9999999999999992E-2</v>
      </c>
      <c r="V11">
        <f t="shared" si="15"/>
        <v>271542.85714285722</v>
      </c>
      <c r="W11">
        <f t="shared" si="8"/>
        <v>2443885.7142857146</v>
      </c>
      <c r="Y11" s="16">
        <f t="shared" si="16"/>
        <v>0</v>
      </c>
    </row>
    <row r="12" spans="1:25">
      <c r="A12" s="26" t="s">
        <v>29</v>
      </c>
      <c r="B12" s="16">
        <v>264</v>
      </c>
      <c r="C12" s="17">
        <f t="shared" si="9"/>
        <v>264000</v>
      </c>
      <c r="D12" s="35">
        <v>0</v>
      </c>
      <c r="E12" s="35">
        <v>0</v>
      </c>
      <c r="F12" s="35">
        <v>0</v>
      </c>
      <c r="G12" s="35">
        <v>0</v>
      </c>
      <c r="H12" s="36">
        <v>0</v>
      </c>
      <c r="I12">
        <f t="shared" si="0"/>
        <v>0</v>
      </c>
      <c r="J12" s="17">
        <f t="shared" si="1"/>
        <v>0</v>
      </c>
      <c r="K12" s="16">
        <f t="shared" si="2"/>
        <v>0</v>
      </c>
      <c r="L12" s="30">
        <f t="shared" si="10"/>
        <v>27</v>
      </c>
      <c r="M12" s="17">
        <f t="shared" si="11"/>
        <v>0</v>
      </c>
      <c r="N12" s="16">
        <f t="shared" si="3"/>
        <v>0</v>
      </c>
      <c r="O12" s="16">
        <f t="shared" si="4"/>
        <v>0</v>
      </c>
      <c r="P12" s="16">
        <f t="shared" si="5"/>
        <v>0</v>
      </c>
      <c r="Q12" s="17">
        <f t="shared" si="12"/>
        <v>0</v>
      </c>
      <c r="R12" s="16">
        <f t="shared" si="13"/>
        <v>0</v>
      </c>
      <c r="S12" s="16">
        <f t="shared" si="6"/>
        <v>0</v>
      </c>
      <c r="T12" s="16">
        <f t="shared" si="7"/>
        <v>0</v>
      </c>
      <c r="U12">
        <f t="shared" si="14"/>
        <v>0</v>
      </c>
      <c r="V12">
        <f t="shared" si="15"/>
        <v>0</v>
      </c>
      <c r="W12">
        <f t="shared" si="8"/>
        <v>0</v>
      </c>
      <c r="Y12" s="16">
        <f t="shared" si="16"/>
        <v>0</v>
      </c>
    </row>
    <row r="13" spans="1:25">
      <c r="A13" s="26" t="s">
        <v>30</v>
      </c>
      <c r="B13" s="16">
        <v>108</v>
      </c>
      <c r="C13" s="17">
        <f t="shared" si="9"/>
        <v>108000</v>
      </c>
      <c r="D13" s="35">
        <v>38735.816682349046</v>
      </c>
      <c r="E13" s="35">
        <v>0</v>
      </c>
      <c r="F13" s="35">
        <v>0</v>
      </c>
      <c r="G13" s="35">
        <v>0</v>
      </c>
      <c r="H13" s="36">
        <v>6171.4285714285734</v>
      </c>
      <c r="I13">
        <f t="shared" si="0"/>
        <v>1110857.1428571432</v>
      </c>
      <c r="J13" s="17">
        <f t="shared" si="1"/>
        <v>108000.00000000003</v>
      </c>
      <c r="K13" s="16">
        <f t="shared" si="2"/>
        <v>10800.000000000002</v>
      </c>
      <c r="L13" s="30">
        <f t="shared" si="10"/>
        <v>34.299999999999997</v>
      </c>
      <c r="M13" s="17">
        <f t="shared" si="11"/>
        <v>3704400.0000000005</v>
      </c>
      <c r="N13" s="16">
        <f t="shared" si="3"/>
        <v>486000.00000000006</v>
      </c>
      <c r="O13" s="16">
        <f t="shared" si="4"/>
        <v>70200.000000000029</v>
      </c>
      <c r="P13" s="16">
        <f t="shared" si="5"/>
        <v>2103862.6437150612</v>
      </c>
      <c r="Q13" s="17">
        <f t="shared" si="12"/>
        <v>1503360.0000000005</v>
      </c>
      <c r="R13" s="16">
        <f t="shared" si="13"/>
        <v>512977.35628493875</v>
      </c>
      <c r="S13" s="16">
        <f t="shared" si="6"/>
        <v>111085.71428571432</v>
      </c>
      <c r="T13" s="16">
        <f t="shared" si="7"/>
        <v>535.17141307355962</v>
      </c>
      <c r="U13">
        <f t="shared" si="14"/>
        <v>0.1</v>
      </c>
      <c r="V13">
        <f t="shared" si="15"/>
        <v>111085.71428571432</v>
      </c>
      <c r="W13">
        <f t="shared" si="8"/>
        <v>999771.42857142887</v>
      </c>
      <c r="Y13" s="16">
        <f t="shared" si="16"/>
        <v>0</v>
      </c>
    </row>
    <row r="14" spans="1:25">
      <c r="A14" s="26" t="s">
        <v>31</v>
      </c>
      <c r="B14" s="16">
        <v>108</v>
      </c>
      <c r="C14" s="17">
        <f t="shared" si="9"/>
        <v>108000</v>
      </c>
      <c r="D14" s="35">
        <v>0</v>
      </c>
      <c r="E14" s="35">
        <v>0</v>
      </c>
      <c r="F14" s="35">
        <v>0</v>
      </c>
      <c r="G14" s="35">
        <v>0</v>
      </c>
      <c r="H14" s="36">
        <v>0</v>
      </c>
      <c r="I14">
        <f t="shared" si="0"/>
        <v>0</v>
      </c>
      <c r="J14" s="17">
        <f t="shared" si="1"/>
        <v>0</v>
      </c>
      <c r="K14" s="16">
        <f t="shared" si="2"/>
        <v>0</v>
      </c>
      <c r="L14" s="30">
        <f t="shared" si="10"/>
        <v>26.3</v>
      </c>
      <c r="M14" s="17">
        <f t="shared" si="11"/>
        <v>0</v>
      </c>
      <c r="N14" s="16">
        <f t="shared" si="3"/>
        <v>0</v>
      </c>
      <c r="O14" s="16">
        <f t="shared" si="4"/>
        <v>0</v>
      </c>
      <c r="P14" s="16">
        <f t="shared" si="5"/>
        <v>0</v>
      </c>
      <c r="Q14" s="17">
        <f t="shared" si="12"/>
        <v>0</v>
      </c>
      <c r="R14" s="16">
        <f t="shared" si="13"/>
        <v>0</v>
      </c>
      <c r="S14" s="16">
        <f t="shared" si="6"/>
        <v>0</v>
      </c>
      <c r="T14" s="16">
        <f t="shared" si="7"/>
        <v>0</v>
      </c>
      <c r="U14">
        <f t="shared" si="14"/>
        <v>0</v>
      </c>
      <c r="V14">
        <f t="shared" si="15"/>
        <v>0</v>
      </c>
      <c r="W14">
        <f t="shared" si="8"/>
        <v>0</v>
      </c>
      <c r="Y14" s="16">
        <f t="shared" si="16"/>
        <v>0</v>
      </c>
    </row>
    <row r="15" spans="1:25">
      <c r="A15" s="26" t="s">
        <v>32</v>
      </c>
      <c r="B15" s="16">
        <v>264</v>
      </c>
      <c r="C15" s="17">
        <f t="shared" si="9"/>
        <v>264000</v>
      </c>
      <c r="D15" s="35">
        <v>94687.551890186543</v>
      </c>
      <c r="E15" s="35">
        <v>0</v>
      </c>
      <c r="F15" s="35">
        <v>0</v>
      </c>
      <c r="G15" s="35">
        <v>0</v>
      </c>
      <c r="H15" s="36">
        <v>15085.714285714288</v>
      </c>
      <c r="I15">
        <f t="shared" si="0"/>
        <v>2715428.5714285718</v>
      </c>
      <c r="J15" s="17">
        <f t="shared" si="1"/>
        <v>264000</v>
      </c>
      <c r="K15" s="16">
        <f t="shared" si="2"/>
        <v>26400</v>
      </c>
      <c r="L15" s="30">
        <f t="shared" si="10"/>
        <v>37.65</v>
      </c>
      <c r="M15" s="17">
        <f t="shared" si="11"/>
        <v>9939600</v>
      </c>
      <c r="N15" s="16">
        <f t="shared" si="3"/>
        <v>1188000</v>
      </c>
      <c r="O15" s="16">
        <f t="shared" si="4"/>
        <v>171600.00000000003</v>
      </c>
      <c r="P15" s="16">
        <f t="shared" si="5"/>
        <v>5142775.3513034824</v>
      </c>
      <c r="Q15" s="17">
        <f t="shared" si="12"/>
        <v>3674880</v>
      </c>
      <c r="R15" s="16">
        <f t="shared" si="13"/>
        <v>2138344.6486965176</v>
      </c>
      <c r="S15" s="16">
        <f t="shared" si="6"/>
        <v>271542.85714285716</v>
      </c>
      <c r="T15" s="16">
        <f t="shared" si="7"/>
        <v>1308.1967875131456</v>
      </c>
      <c r="U15">
        <f t="shared" si="14"/>
        <v>9.9999999999999992E-2</v>
      </c>
      <c r="V15">
        <f t="shared" si="15"/>
        <v>271542.85714285722</v>
      </c>
      <c r="W15">
        <f t="shared" si="8"/>
        <v>2443885.7142857146</v>
      </c>
      <c r="Y15" s="16">
        <f t="shared" si="16"/>
        <v>0</v>
      </c>
    </row>
    <row r="16" spans="1:25">
      <c r="A16" s="26" t="s">
        <v>33</v>
      </c>
      <c r="B16" s="16">
        <v>264</v>
      </c>
      <c r="C16" s="17">
        <f t="shared" si="9"/>
        <v>264000</v>
      </c>
      <c r="D16" s="35">
        <v>0</v>
      </c>
      <c r="E16" s="35">
        <v>0</v>
      </c>
      <c r="F16" s="35">
        <v>0</v>
      </c>
      <c r="G16" s="35">
        <v>0</v>
      </c>
      <c r="H16" s="36">
        <v>0</v>
      </c>
      <c r="I16">
        <f t="shared" si="0"/>
        <v>0</v>
      </c>
      <c r="J16" s="17">
        <f t="shared" si="1"/>
        <v>0</v>
      </c>
      <c r="K16" s="16">
        <f t="shared" si="2"/>
        <v>0</v>
      </c>
      <c r="L16" s="30">
        <f t="shared" si="10"/>
        <v>28.2</v>
      </c>
      <c r="M16" s="17">
        <f t="shared" si="11"/>
        <v>0</v>
      </c>
      <c r="N16" s="16">
        <f t="shared" si="3"/>
        <v>0</v>
      </c>
      <c r="O16" s="16">
        <f t="shared" si="4"/>
        <v>0</v>
      </c>
      <c r="P16" s="16">
        <f t="shared" si="5"/>
        <v>0</v>
      </c>
      <c r="Q16" s="17">
        <f t="shared" si="12"/>
        <v>0</v>
      </c>
      <c r="R16" s="16">
        <f t="shared" si="13"/>
        <v>0</v>
      </c>
      <c r="S16" s="16">
        <f t="shared" si="6"/>
        <v>0</v>
      </c>
      <c r="T16" s="16">
        <f t="shared" si="7"/>
        <v>0</v>
      </c>
      <c r="U16">
        <f t="shared" si="14"/>
        <v>0</v>
      </c>
      <c r="V16">
        <f t="shared" si="15"/>
        <v>0</v>
      </c>
      <c r="W16">
        <f t="shared" si="8"/>
        <v>0</v>
      </c>
      <c r="Y16" s="16">
        <f t="shared" si="16"/>
        <v>0</v>
      </c>
    </row>
    <row r="17" spans="1:25">
      <c r="A17" s="26" t="s">
        <v>34</v>
      </c>
      <c r="B17" s="16">
        <v>108</v>
      </c>
      <c r="C17" s="17">
        <f t="shared" si="9"/>
        <v>108000</v>
      </c>
      <c r="D17" s="35">
        <v>38735.816682349046</v>
      </c>
      <c r="E17" s="35">
        <v>0</v>
      </c>
      <c r="F17" s="35">
        <v>0</v>
      </c>
      <c r="G17" s="35">
        <v>0</v>
      </c>
      <c r="H17" s="36">
        <v>6171.4285714285734</v>
      </c>
      <c r="I17">
        <f t="shared" si="0"/>
        <v>1110857.1428571432</v>
      </c>
      <c r="J17" s="17">
        <f t="shared" si="1"/>
        <v>108000.00000000003</v>
      </c>
      <c r="K17" s="16">
        <f t="shared" si="2"/>
        <v>10800.000000000002</v>
      </c>
      <c r="L17" s="30">
        <f t="shared" si="10"/>
        <v>35.65</v>
      </c>
      <c r="M17" s="17">
        <f t="shared" si="11"/>
        <v>3850200.0000000009</v>
      </c>
      <c r="N17" s="16">
        <f t="shared" si="3"/>
        <v>486000.00000000006</v>
      </c>
      <c r="O17" s="16">
        <f t="shared" si="4"/>
        <v>70200.000000000029</v>
      </c>
      <c r="P17" s="16">
        <f t="shared" si="5"/>
        <v>2103862.6437150612</v>
      </c>
      <c r="Q17" s="17">
        <f t="shared" si="12"/>
        <v>1503360.0000000005</v>
      </c>
      <c r="R17" s="16">
        <f t="shared" si="13"/>
        <v>658777.35628493922</v>
      </c>
      <c r="S17" s="16">
        <f t="shared" si="6"/>
        <v>111085.71428571432</v>
      </c>
      <c r="T17" s="16">
        <f t="shared" si="7"/>
        <v>535.17141307355962</v>
      </c>
      <c r="U17">
        <f t="shared" si="14"/>
        <v>0.1</v>
      </c>
      <c r="V17">
        <f t="shared" si="15"/>
        <v>111085.71428571432</v>
      </c>
      <c r="W17">
        <f t="shared" si="8"/>
        <v>999771.42857142887</v>
      </c>
      <c r="Y17" s="16">
        <f t="shared" si="16"/>
        <v>0</v>
      </c>
    </row>
    <row r="18" spans="1:25">
      <c r="A18" s="26" t="s">
        <v>35</v>
      </c>
      <c r="B18" s="16">
        <v>108</v>
      </c>
      <c r="C18" s="17">
        <f t="shared" si="9"/>
        <v>108000</v>
      </c>
      <c r="D18" s="35">
        <v>0</v>
      </c>
      <c r="E18" s="35">
        <v>0</v>
      </c>
      <c r="F18" s="35">
        <v>0</v>
      </c>
      <c r="G18" s="35">
        <v>0</v>
      </c>
      <c r="H18" s="36">
        <v>0</v>
      </c>
      <c r="I18">
        <f t="shared" si="0"/>
        <v>0</v>
      </c>
      <c r="J18" s="17">
        <f t="shared" si="1"/>
        <v>0</v>
      </c>
      <c r="K18" s="16">
        <f t="shared" si="2"/>
        <v>0</v>
      </c>
      <c r="L18" s="30">
        <f t="shared" si="10"/>
        <v>27.5</v>
      </c>
      <c r="M18" s="17">
        <f t="shared" si="11"/>
        <v>0</v>
      </c>
      <c r="N18" s="16">
        <f t="shared" si="3"/>
        <v>0</v>
      </c>
      <c r="O18" s="16">
        <f t="shared" si="4"/>
        <v>0</v>
      </c>
      <c r="P18" s="16">
        <f t="shared" si="5"/>
        <v>0</v>
      </c>
      <c r="Q18" s="17">
        <f t="shared" si="12"/>
        <v>0</v>
      </c>
      <c r="R18" s="16">
        <f t="shared" si="13"/>
        <v>0</v>
      </c>
      <c r="S18" s="16">
        <f t="shared" si="6"/>
        <v>0</v>
      </c>
      <c r="T18" s="16">
        <f t="shared" si="7"/>
        <v>0</v>
      </c>
      <c r="U18">
        <f t="shared" si="14"/>
        <v>0</v>
      </c>
      <c r="V18">
        <f t="shared" si="15"/>
        <v>0</v>
      </c>
      <c r="W18">
        <f t="shared" si="8"/>
        <v>0</v>
      </c>
      <c r="Y18" s="16">
        <f t="shared" si="16"/>
        <v>0</v>
      </c>
    </row>
    <row r="19" spans="1:25">
      <c r="A19" s="26" t="s">
        <v>36</v>
      </c>
      <c r="B19" s="16">
        <v>264</v>
      </c>
      <c r="C19" s="17">
        <f t="shared" si="9"/>
        <v>264000</v>
      </c>
      <c r="D19" s="35">
        <v>0</v>
      </c>
      <c r="E19" s="35">
        <v>0</v>
      </c>
      <c r="F19" s="35">
        <v>18357.448195898174</v>
      </c>
      <c r="G19" s="35">
        <v>76111.764636878172</v>
      </c>
      <c r="H19" s="36">
        <v>15085.714285714286</v>
      </c>
      <c r="I19">
        <f t="shared" si="0"/>
        <v>2715428.5714285709</v>
      </c>
      <c r="J19" s="17">
        <f t="shared" si="1"/>
        <v>263999.99999999994</v>
      </c>
      <c r="K19" s="16">
        <f t="shared" si="2"/>
        <v>26400</v>
      </c>
      <c r="L19" s="30">
        <f t="shared" si="10"/>
        <v>38.35</v>
      </c>
      <c r="M19" s="17">
        <f t="shared" si="11"/>
        <v>10124399.999999998</v>
      </c>
      <c r="N19" s="16">
        <f t="shared" si="3"/>
        <v>1188000</v>
      </c>
      <c r="O19" s="16">
        <f t="shared" si="4"/>
        <v>171599.99999999997</v>
      </c>
      <c r="P19" s="16">
        <f t="shared" si="5"/>
        <v>5113623.4885863662</v>
      </c>
      <c r="Q19" s="17">
        <f t="shared" si="12"/>
        <v>3674879.9999999995</v>
      </c>
      <c r="R19" s="16">
        <f t="shared" si="13"/>
        <v>2352296.5114136324</v>
      </c>
      <c r="S19" s="16">
        <f t="shared" si="6"/>
        <v>271542.85714285716</v>
      </c>
      <c r="T19" s="16">
        <f t="shared" si="7"/>
        <v>1374.8819918685194</v>
      </c>
      <c r="U19">
        <f t="shared" si="14"/>
        <v>0.10000000000000002</v>
      </c>
      <c r="V19">
        <f t="shared" si="15"/>
        <v>271542.8571428571</v>
      </c>
      <c r="W19">
        <f t="shared" si="8"/>
        <v>2443885.7142857136</v>
      </c>
      <c r="Y19" s="16">
        <f t="shared" si="16"/>
        <v>0</v>
      </c>
    </row>
    <row r="20" spans="1:25">
      <c r="A20" s="26" t="s">
        <v>37</v>
      </c>
      <c r="B20" s="16">
        <v>264</v>
      </c>
      <c r="C20" s="17">
        <f t="shared" si="9"/>
        <v>264000</v>
      </c>
      <c r="D20" s="35">
        <v>0</v>
      </c>
      <c r="E20" s="35">
        <v>0</v>
      </c>
      <c r="F20" s="35">
        <v>0</v>
      </c>
      <c r="G20" s="35">
        <v>0</v>
      </c>
      <c r="H20" s="36">
        <v>0</v>
      </c>
      <c r="I20">
        <f t="shared" si="0"/>
        <v>0</v>
      </c>
      <c r="J20" s="17">
        <f t="shared" si="1"/>
        <v>0</v>
      </c>
      <c r="K20" s="16">
        <f t="shared" si="2"/>
        <v>0</v>
      </c>
      <c r="L20" s="30">
        <f t="shared" si="10"/>
        <v>28.5</v>
      </c>
      <c r="M20" s="17">
        <f t="shared" si="11"/>
        <v>0</v>
      </c>
      <c r="N20" s="16">
        <f t="shared" si="3"/>
        <v>0</v>
      </c>
      <c r="O20" s="16">
        <f t="shared" si="4"/>
        <v>0</v>
      </c>
      <c r="P20" s="16">
        <f t="shared" si="5"/>
        <v>0</v>
      </c>
      <c r="Q20" s="17">
        <f t="shared" si="12"/>
        <v>0</v>
      </c>
      <c r="R20" s="16">
        <f t="shared" si="13"/>
        <v>0</v>
      </c>
      <c r="S20" s="16">
        <f t="shared" si="6"/>
        <v>0</v>
      </c>
      <c r="T20" s="16">
        <f t="shared" si="7"/>
        <v>0</v>
      </c>
      <c r="U20">
        <f t="shared" si="14"/>
        <v>0</v>
      </c>
      <c r="V20">
        <f t="shared" si="15"/>
        <v>0</v>
      </c>
      <c r="W20">
        <f t="shared" si="8"/>
        <v>0</v>
      </c>
      <c r="Y20" s="16">
        <f t="shared" si="16"/>
        <v>0</v>
      </c>
    </row>
    <row r="21" spans="1:25">
      <c r="A21" s="26" t="s">
        <v>38</v>
      </c>
      <c r="B21" s="16">
        <v>96</v>
      </c>
      <c r="C21" s="17">
        <f t="shared" si="9"/>
        <v>96000</v>
      </c>
      <c r="D21" s="35">
        <v>0</v>
      </c>
      <c r="E21" s="35">
        <v>0</v>
      </c>
      <c r="F21" s="35">
        <v>36272.886297376092</v>
      </c>
      <c r="G21" s="35">
        <v>0</v>
      </c>
      <c r="H21" s="36">
        <v>5485.7142857142871</v>
      </c>
      <c r="I21">
        <f t="shared" si="0"/>
        <v>987428.57142857136</v>
      </c>
      <c r="J21" s="17">
        <f t="shared" si="1"/>
        <v>95999.999999999985</v>
      </c>
      <c r="K21" s="16">
        <f t="shared" si="2"/>
        <v>9600.0000000000018</v>
      </c>
      <c r="L21" s="30">
        <f t="shared" si="10"/>
        <v>35.799999999999997</v>
      </c>
      <c r="M21" s="17">
        <f t="shared" si="11"/>
        <v>3436799.9999999991</v>
      </c>
      <c r="N21" s="16">
        <f t="shared" si="3"/>
        <v>432000.00000000006</v>
      </c>
      <c r="O21" s="16">
        <f t="shared" si="4"/>
        <v>62399.999999999993</v>
      </c>
      <c r="P21" s="16">
        <f t="shared" si="5"/>
        <v>1993433.5626822156</v>
      </c>
      <c r="Q21" s="17">
        <f t="shared" si="12"/>
        <v>1336319.9999999998</v>
      </c>
      <c r="R21" s="16">
        <f t="shared" si="13"/>
        <v>476646.43731778371</v>
      </c>
      <c r="S21" s="16">
        <f t="shared" si="6"/>
        <v>98742.857142857174</v>
      </c>
      <c r="T21" s="16">
        <f t="shared" si="7"/>
        <v>127.50367346938775</v>
      </c>
      <c r="U21">
        <f t="shared" si="14"/>
        <v>0.10000000000000003</v>
      </c>
      <c r="V21">
        <f t="shared" si="15"/>
        <v>98742.857142857145</v>
      </c>
      <c r="W21">
        <f t="shared" si="8"/>
        <v>888685.7142857142</v>
      </c>
      <c r="Y21" s="16">
        <f t="shared" si="16"/>
        <v>0</v>
      </c>
    </row>
    <row r="22" spans="1:25">
      <c r="A22" s="26" t="s">
        <v>39</v>
      </c>
      <c r="B22" s="16">
        <v>96</v>
      </c>
      <c r="C22" s="17">
        <f t="shared" si="9"/>
        <v>96000</v>
      </c>
      <c r="D22" s="35">
        <v>0</v>
      </c>
      <c r="E22" s="35">
        <v>0</v>
      </c>
      <c r="F22" s="35">
        <v>0</v>
      </c>
      <c r="G22" s="35">
        <v>0</v>
      </c>
      <c r="H22" s="36">
        <v>0</v>
      </c>
      <c r="I22">
        <f t="shared" si="0"/>
        <v>0</v>
      </c>
      <c r="J22" s="17">
        <f t="shared" si="1"/>
        <v>0</v>
      </c>
      <c r="K22" s="16">
        <f t="shared" si="2"/>
        <v>0</v>
      </c>
      <c r="L22" s="30">
        <f t="shared" si="10"/>
        <v>27.65</v>
      </c>
      <c r="M22" s="17">
        <f t="shared" si="11"/>
        <v>0</v>
      </c>
      <c r="N22" s="16">
        <f t="shared" si="3"/>
        <v>0</v>
      </c>
      <c r="O22" s="16">
        <f t="shared" si="4"/>
        <v>0</v>
      </c>
      <c r="P22" s="16">
        <f t="shared" si="5"/>
        <v>0</v>
      </c>
      <c r="Q22" s="17">
        <f t="shared" si="12"/>
        <v>0</v>
      </c>
      <c r="R22" s="16">
        <f t="shared" si="13"/>
        <v>0</v>
      </c>
      <c r="S22" s="16">
        <f t="shared" si="6"/>
        <v>0</v>
      </c>
      <c r="T22" s="16">
        <f t="shared" si="7"/>
        <v>0</v>
      </c>
      <c r="U22">
        <f t="shared" si="14"/>
        <v>0</v>
      </c>
      <c r="V22">
        <f t="shared" si="15"/>
        <v>0</v>
      </c>
      <c r="W22">
        <f t="shared" si="8"/>
        <v>0</v>
      </c>
      <c r="Y22" s="16">
        <f t="shared" si="16"/>
        <v>0</v>
      </c>
    </row>
    <row r="23" spans="1:25">
      <c r="A23" s="26" t="s">
        <v>40</v>
      </c>
      <c r="B23" s="16">
        <v>252</v>
      </c>
      <c r="C23" s="17">
        <f t="shared" si="9"/>
        <v>252000</v>
      </c>
      <c r="D23" s="35">
        <v>0</v>
      </c>
      <c r="E23" s="35">
        <v>0</v>
      </c>
      <c r="F23" s="35">
        <v>95216.326530612176</v>
      </c>
      <c r="G23" s="35">
        <v>0</v>
      </c>
      <c r="H23" s="36">
        <v>14400</v>
      </c>
      <c r="I23">
        <f t="shared" si="0"/>
        <v>2591999.9999999981</v>
      </c>
      <c r="J23" s="17">
        <f t="shared" si="1"/>
        <v>251999.9999999998</v>
      </c>
      <c r="K23" s="16">
        <f t="shared" si="2"/>
        <v>25200</v>
      </c>
      <c r="L23" s="30">
        <f t="shared" si="10"/>
        <v>43.7</v>
      </c>
      <c r="M23" s="17">
        <f t="shared" si="11"/>
        <v>11012399.999999993</v>
      </c>
      <c r="N23" s="16">
        <f t="shared" si="3"/>
        <v>1134000</v>
      </c>
      <c r="O23" s="16">
        <f t="shared" si="4"/>
        <v>163799.99999999985</v>
      </c>
      <c r="P23" s="16">
        <f t="shared" si="5"/>
        <v>5232763.1020408124</v>
      </c>
      <c r="Q23" s="17">
        <f t="shared" si="12"/>
        <v>3507839.9999999977</v>
      </c>
      <c r="R23" s="16">
        <f t="shared" si="13"/>
        <v>3241996.8979591825</v>
      </c>
      <c r="S23" s="16">
        <f t="shared" si="6"/>
        <v>259200</v>
      </c>
      <c r="T23" s="16">
        <f t="shared" si="7"/>
        <v>334.69714285714264</v>
      </c>
      <c r="U23">
        <f t="shared" si="14"/>
        <v>0.10000000000000007</v>
      </c>
      <c r="V23">
        <f t="shared" si="15"/>
        <v>259199.99999999983</v>
      </c>
      <c r="W23">
        <f t="shared" si="8"/>
        <v>2332799.9999999981</v>
      </c>
      <c r="Y23" s="16">
        <f t="shared" si="16"/>
        <v>0</v>
      </c>
    </row>
    <row r="24" spans="1:25">
      <c r="A24" s="26" t="s">
        <v>41</v>
      </c>
      <c r="B24" s="16">
        <v>252</v>
      </c>
      <c r="C24" s="17">
        <f t="shared" si="9"/>
        <v>252000</v>
      </c>
      <c r="D24" s="35">
        <v>0</v>
      </c>
      <c r="E24" s="35">
        <v>0</v>
      </c>
      <c r="F24" s="35">
        <v>0</v>
      </c>
      <c r="G24" s="35">
        <v>89038.167938931263</v>
      </c>
      <c r="H24" s="36">
        <v>14400.000000000004</v>
      </c>
      <c r="I24">
        <f t="shared" si="0"/>
        <v>2591999.9999999991</v>
      </c>
      <c r="J24" s="17">
        <f t="shared" si="1"/>
        <v>251999.99999999988</v>
      </c>
      <c r="K24" s="16">
        <f t="shared" si="2"/>
        <v>25200.000000000004</v>
      </c>
      <c r="L24" s="30">
        <f t="shared" si="10"/>
        <v>31.7</v>
      </c>
      <c r="M24" s="17">
        <f t="shared" si="11"/>
        <v>7988399.9999999963</v>
      </c>
      <c r="N24" s="16">
        <f t="shared" si="3"/>
        <v>1134000</v>
      </c>
      <c r="O24" s="16">
        <f t="shared" si="4"/>
        <v>163799.99999999994</v>
      </c>
      <c r="P24" s="16">
        <f t="shared" si="5"/>
        <v>4801891.0534351133</v>
      </c>
      <c r="Q24" s="17">
        <f t="shared" si="12"/>
        <v>3507839.9999999981</v>
      </c>
      <c r="R24" s="16">
        <f t="shared" si="13"/>
        <v>648868.94656488486</v>
      </c>
      <c r="S24" s="16">
        <f t="shared" si="6"/>
        <v>259200.00000000006</v>
      </c>
      <c r="T24" s="16">
        <f t="shared" si="7"/>
        <v>1532.8964885496177</v>
      </c>
      <c r="U24">
        <f t="shared" si="14"/>
        <v>0.10000000000000006</v>
      </c>
      <c r="V24">
        <f t="shared" si="15"/>
        <v>259199.99999999991</v>
      </c>
      <c r="W24">
        <f t="shared" si="8"/>
        <v>2332799.9999999991</v>
      </c>
      <c r="Y24" s="16">
        <f t="shared" si="16"/>
        <v>0</v>
      </c>
    </row>
    <row r="25" spans="1:25">
      <c r="A25" s="26" t="s">
        <v>42</v>
      </c>
      <c r="B25" s="16">
        <v>120</v>
      </c>
      <c r="C25" s="17">
        <f t="shared" si="9"/>
        <v>120000</v>
      </c>
      <c r="D25" s="35">
        <v>0</v>
      </c>
      <c r="E25" s="35">
        <v>0</v>
      </c>
      <c r="F25" s="35">
        <v>45341.107871720102</v>
      </c>
      <c r="G25" s="35">
        <v>0</v>
      </c>
      <c r="H25" s="36">
        <v>6857.1428571428569</v>
      </c>
      <c r="I25">
        <f t="shared" si="0"/>
        <v>1234285.7142857139</v>
      </c>
      <c r="J25" s="17">
        <f t="shared" si="1"/>
        <v>119999.99999999994</v>
      </c>
      <c r="K25" s="16">
        <f t="shared" si="2"/>
        <v>11999.999999999998</v>
      </c>
      <c r="L25" s="30">
        <f t="shared" si="10"/>
        <v>38.700000000000003</v>
      </c>
      <c r="M25" s="17">
        <f t="shared" si="11"/>
        <v>4643999.9999999981</v>
      </c>
      <c r="N25" s="16">
        <f t="shared" si="3"/>
        <v>539999.99999999988</v>
      </c>
      <c r="O25" s="16">
        <f t="shared" si="4"/>
        <v>77999.999999999971</v>
      </c>
      <c r="P25" s="16">
        <f t="shared" si="5"/>
        <v>2491791.9533527689</v>
      </c>
      <c r="Q25" s="17">
        <f t="shared" si="12"/>
        <v>1670399.9999999991</v>
      </c>
      <c r="R25" s="16">
        <f t="shared" si="13"/>
        <v>943808.04664723016</v>
      </c>
      <c r="S25" s="16">
        <f t="shared" si="6"/>
        <v>123428.57142857142</v>
      </c>
      <c r="T25" s="16">
        <f t="shared" si="7"/>
        <v>159.37959183673465</v>
      </c>
      <c r="U25">
        <f t="shared" si="14"/>
        <v>0.10000000000000003</v>
      </c>
      <c r="V25">
        <f t="shared" si="15"/>
        <v>123428.57142857139</v>
      </c>
      <c r="W25">
        <f t="shared" si="8"/>
        <v>1110857.1428571425</v>
      </c>
      <c r="Y25" s="16">
        <f t="shared" si="16"/>
        <v>0</v>
      </c>
    </row>
    <row r="26" spans="1:25" ht="15.95" thickBot="1">
      <c r="A26" s="73" t="s">
        <v>43</v>
      </c>
      <c r="B26" s="74">
        <v>120</v>
      </c>
      <c r="C26" s="17">
        <f t="shared" si="9"/>
        <v>120000</v>
      </c>
      <c r="D26" s="75">
        <v>0</v>
      </c>
      <c r="E26" s="75">
        <v>0</v>
      </c>
      <c r="F26" s="75">
        <v>0</v>
      </c>
      <c r="G26" s="75">
        <v>0</v>
      </c>
      <c r="H26" s="76">
        <v>0</v>
      </c>
      <c r="I26">
        <f t="shared" si="0"/>
        <v>0</v>
      </c>
      <c r="J26" s="17">
        <f t="shared" si="1"/>
        <v>0</v>
      </c>
      <c r="K26" s="74">
        <f t="shared" si="2"/>
        <v>0</v>
      </c>
      <c r="L26" s="30">
        <f t="shared" si="10"/>
        <v>30.1</v>
      </c>
      <c r="M26" s="17">
        <f t="shared" si="11"/>
        <v>0</v>
      </c>
      <c r="N26" s="74">
        <f t="shared" si="3"/>
        <v>0</v>
      </c>
      <c r="O26" s="74">
        <f t="shared" si="4"/>
        <v>0</v>
      </c>
      <c r="P26" s="74">
        <f t="shared" si="5"/>
        <v>0</v>
      </c>
      <c r="Q26" s="17">
        <f t="shared" si="12"/>
        <v>0</v>
      </c>
      <c r="R26" s="74">
        <f t="shared" si="13"/>
        <v>0</v>
      </c>
      <c r="S26" s="74">
        <f t="shared" si="6"/>
        <v>0</v>
      </c>
      <c r="T26" s="74">
        <f t="shared" si="7"/>
        <v>0</v>
      </c>
      <c r="U26">
        <f t="shared" si="14"/>
        <v>0</v>
      </c>
      <c r="V26">
        <f t="shared" si="15"/>
        <v>0</v>
      </c>
      <c r="W26">
        <f t="shared" si="8"/>
        <v>0</v>
      </c>
      <c r="Y26" s="16">
        <f t="shared" si="16"/>
        <v>0</v>
      </c>
    </row>
    <row r="27" spans="1:25" ht="15.95" thickBot="1">
      <c r="A27" s="31" t="s">
        <v>44</v>
      </c>
      <c r="B27" s="31"/>
      <c r="C27" s="31">
        <f>SUM(C7:C26)</f>
        <v>3672000</v>
      </c>
      <c r="D27" s="31">
        <f>SUM(D7:D26)</f>
        <v>395966.1260862347</v>
      </c>
      <c r="E27" s="31">
        <f t="shared" ref="E27:H27" si="17">SUM(E7:E26)</f>
        <v>0</v>
      </c>
      <c r="F27" s="31">
        <f t="shared" si="17"/>
        <v>195187.76889560654</v>
      </c>
      <c r="G27" s="31">
        <f t="shared" si="17"/>
        <v>165149.93257580942</v>
      </c>
      <c r="H27" s="31">
        <f t="shared" si="17"/>
        <v>119314.28571428572</v>
      </c>
      <c r="I27" s="31"/>
      <c r="J27" s="31">
        <f>SUM(J7:J26)</f>
        <v>2087999.9999999995</v>
      </c>
      <c r="K27" s="31">
        <f t="shared" ref="K27:T27" si="18">SUM(K7:K26)</f>
        <v>208800</v>
      </c>
      <c r="L27" s="31">
        <f t="shared" si="18"/>
        <v>650.15000000000009</v>
      </c>
      <c r="M27" s="31">
        <f t="shared" si="18"/>
        <v>77016599.999999985</v>
      </c>
      <c r="N27" s="31">
        <f t="shared" si="18"/>
        <v>9396000</v>
      </c>
      <c r="O27" s="31">
        <f t="shared" si="18"/>
        <v>1357200</v>
      </c>
      <c r="P27" s="31">
        <f t="shared" si="18"/>
        <v>41139654.629184566</v>
      </c>
      <c r="Q27" s="31">
        <f t="shared" si="18"/>
        <v>29064959.999999993</v>
      </c>
      <c r="R27" s="66">
        <f t="shared" si="18"/>
        <v>14850785.370815422</v>
      </c>
      <c r="S27" s="31">
        <f t="shared" si="18"/>
        <v>2147657.1428571432</v>
      </c>
      <c r="T27" s="31">
        <f t="shared" si="18"/>
        <v>9000.0000000000109</v>
      </c>
      <c r="V27">
        <f>SUM(V7:V26)</f>
        <v>2147657.1428571427</v>
      </c>
      <c r="W27">
        <f t="shared" si="8"/>
        <v>19328914.285714284</v>
      </c>
      <c r="Y27" s="32"/>
    </row>
    <row r="28" spans="1:25" ht="15.95" thickBot="1">
      <c r="L28" s="67"/>
      <c r="M28" s="67"/>
      <c r="N28" s="67"/>
      <c r="O28" s="67"/>
      <c r="P28" s="67"/>
    </row>
    <row r="29" spans="1:25" ht="15.95" thickBot="1">
      <c r="F29" s="37" t="s">
        <v>45</v>
      </c>
      <c r="G29" s="37" t="s">
        <v>46</v>
      </c>
      <c r="J29" s="31" t="s">
        <v>47</v>
      </c>
      <c r="K29" s="31" t="s">
        <v>48</v>
      </c>
      <c r="L29" s="11"/>
      <c r="M29" s="31" t="s">
        <v>49</v>
      </c>
      <c r="N29" s="31" t="s">
        <v>50</v>
      </c>
      <c r="O29" s="31" t="s">
        <v>51</v>
      </c>
      <c r="P29" s="31" t="s">
        <v>52</v>
      </c>
      <c r="Q29" s="31" t="s">
        <v>53</v>
      </c>
      <c r="R29" s="31" t="s">
        <v>54</v>
      </c>
    </row>
    <row r="30" spans="1:25">
      <c r="F30" s="16" t="s">
        <v>24</v>
      </c>
      <c r="G30" s="16">
        <v>36</v>
      </c>
      <c r="J30" s="16" t="s">
        <v>55</v>
      </c>
      <c r="K30" s="16">
        <v>0.35</v>
      </c>
      <c r="M30" s="77" t="s">
        <v>56</v>
      </c>
      <c r="N30" s="16">
        <v>42.56</v>
      </c>
      <c r="O30" s="16">
        <v>43.93</v>
      </c>
      <c r="P30" s="16">
        <v>43.8</v>
      </c>
      <c r="Q30" s="16">
        <v>42</v>
      </c>
      <c r="R30" s="16">
        <v>73.77</v>
      </c>
    </row>
    <row r="31" spans="1:25">
      <c r="F31" s="16" t="s">
        <v>25</v>
      </c>
      <c r="G31" s="16">
        <v>27</v>
      </c>
      <c r="J31" s="16" t="s">
        <v>57</v>
      </c>
      <c r="K31" s="16">
        <v>1000</v>
      </c>
      <c r="M31" s="77" t="s">
        <v>58</v>
      </c>
      <c r="N31" s="16">
        <v>25.81</v>
      </c>
      <c r="O31" s="16">
        <v>25.12</v>
      </c>
      <c r="P31" s="16">
        <v>24.5</v>
      </c>
      <c r="Q31" s="16">
        <v>26.2</v>
      </c>
      <c r="R31" s="16">
        <v>18</v>
      </c>
    </row>
    <row r="32" spans="1:25">
      <c r="F32" s="16" t="s">
        <v>26</v>
      </c>
      <c r="G32" s="16">
        <v>33.5</v>
      </c>
      <c r="J32" s="16" t="s">
        <v>59</v>
      </c>
      <c r="K32" s="16">
        <v>0.65</v>
      </c>
      <c r="M32" s="77" t="s">
        <v>60</v>
      </c>
      <c r="N32" s="16">
        <v>1.38</v>
      </c>
      <c r="O32" s="16">
        <v>0.7</v>
      </c>
      <c r="P32" s="16">
        <v>0.35</v>
      </c>
      <c r="Q32" s="16">
        <v>1.72</v>
      </c>
      <c r="R32" s="16">
        <v>0.01</v>
      </c>
    </row>
    <row r="33" spans="6:34">
      <c r="F33" s="16" t="s">
        <v>27</v>
      </c>
      <c r="G33" s="16">
        <v>26.2</v>
      </c>
      <c r="J33" s="16" t="s">
        <v>61</v>
      </c>
      <c r="K33" s="16">
        <v>0.8</v>
      </c>
      <c r="W33" s="9"/>
    </row>
    <row r="34" spans="6:34">
      <c r="F34" s="16" t="s">
        <v>28</v>
      </c>
      <c r="G34" s="16">
        <v>36.35</v>
      </c>
      <c r="J34" s="16" t="s">
        <v>62</v>
      </c>
      <c r="K34" s="16">
        <v>15</v>
      </c>
      <c r="W34" s="9"/>
    </row>
    <row r="35" spans="6:34">
      <c r="F35" s="16" t="s">
        <v>29</v>
      </c>
      <c r="G35" s="16">
        <v>27</v>
      </c>
      <c r="J35" s="16" t="s">
        <v>63</v>
      </c>
      <c r="K35" s="16">
        <v>0.87</v>
      </c>
      <c r="W35" s="9"/>
    </row>
    <row r="36" spans="6:34">
      <c r="F36" s="16" t="s">
        <v>30</v>
      </c>
      <c r="G36" s="16">
        <v>34.299999999999997</v>
      </c>
      <c r="J36" s="16" t="s">
        <v>64</v>
      </c>
      <c r="K36" s="16">
        <v>45</v>
      </c>
      <c r="W36" s="9"/>
    </row>
    <row r="37" spans="6:34">
      <c r="F37" s="16" t="s">
        <v>31</v>
      </c>
      <c r="G37" s="16">
        <v>26.3</v>
      </c>
      <c r="J37" s="16" t="s">
        <v>65</v>
      </c>
      <c r="K37" s="16">
        <v>9000</v>
      </c>
      <c r="W37" s="9"/>
    </row>
    <row r="38" spans="6:34">
      <c r="F38" s="16" t="s">
        <v>32</v>
      </c>
      <c r="G38" s="16">
        <v>37.65</v>
      </c>
      <c r="J38" s="16" t="s">
        <v>66</v>
      </c>
      <c r="K38" s="16">
        <v>600000</v>
      </c>
    </row>
    <row r="39" spans="6:34">
      <c r="F39" s="16" t="s">
        <v>33</v>
      </c>
      <c r="G39" s="16">
        <v>28.2</v>
      </c>
      <c r="J39" s="16" t="s">
        <v>67</v>
      </c>
      <c r="K39" s="16">
        <v>0.1</v>
      </c>
    </row>
    <row r="40" spans="6:34">
      <c r="F40" s="16" t="s">
        <v>34</v>
      </c>
      <c r="G40" s="16">
        <v>35.65</v>
      </c>
      <c r="J40" s="16" t="s">
        <v>68</v>
      </c>
      <c r="K40" s="16">
        <v>12</v>
      </c>
      <c r="O40" s="13"/>
    </row>
    <row r="41" spans="6:34">
      <c r="F41" s="16" t="s">
        <v>35</v>
      </c>
      <c r="G41" s="16">
        <v>27.5</v>
      </c>
      <c r="J41" s="16" t="s">
        <v>69</v>
      </c>
      <c r="K41" s="16">
        <v>12</v>
      </c>
      <c r="O41" s="13"/>
    </row>
    <row r="42" spans="6:34">
      <c r="F42" s="16" t="s">
        <v>36</v>
      </c>
      <c r="G42" s="16">
        <v>38.35</v>
      </c>
      <c r="J42" s="16" t="s">
        <v>70</v>
      </c>
      <c r="K42" s="16">
        <v>0</v>
      </c>
      <c r="O42" s="13"/>
      <c r="AC42" s="28"/>
    </row>
    <row r="43" spans="6:34">
      <c r="F43" s="16" t="s">
        <v>37</v>
      </c>
      <c r="G43" s="16">
        <v>28.5</v>
      </c>
      <c r="J43" s="16" t="s">
        <v>71</v>
      </c>
      <c r="K43" s="16">
        <v>0</v>
      </c>
      <c r="O43" s="13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spans="6:34">
      <c r="F44" s="16" t="s">
        <v>38</v>
      </c>
      <c r="G44" s="16">
        <v>35.799999999999997</v>
      </c>
      <c r="J44" s="16" t="s">
        <v>72</v>
      </c>
      <c r="K44" s="16">
        <v>0</v>
      </c>
      <c r="O44" s="13"/>
    </row>
    <row r="45" spans="6:34">
      <c r="F45" s="16" t="s">
        <v>39</v>
      </c>
      <c r="G45" s="16">
        <v>27.65</v>
      </c>
    </row>
    <row r="46" spans="6:34">
      <c r="F46" s="16" t="s">
        <v>40</v>
      </c>
      <c r="G46" s="16">
        <v>43.7</v>
      </c>
    </row>
    <row r="47" spans="6:34">
      <c r="F47" s="16" t="s">
        <v>41</v>
      </c>
      <c r="G47" s="16">
        <v>31.7</v>
      </c>
    </row>
    <row r="48" spans="6:34">
      <c r="F48" s="16" t="s">
        <v>42</v>
      </c>
      <c r="G48" s="16">
        <v>38.700000000000003</v>
      </c>
    </row>
    <row r="49" spans="6:7">
      <c r="F49" s="16" t="s">
        <v>43</v>
      </c>
      <c r="G49" s="16">
        <v>30.1</v>
      </c>
    </row>
  </sheetData>
  <mergeCells count="1">
    <mergeCell ref="L28:P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DE84-24E4-1847-98BC-2DBFC15514BF}">
  <dimension ref="A5:AH49"/>
  <sheetViews>
    <sheetView topLeftCell="D3" workbookViewId="0">
      <selection activeCell="R27" sqref="R27"/>
    </sheetView>
  </sheetViews>
  <sheetFormatPr defaultColWidth="8.85546875" defaultRowHeight="15"/>
  <cols>
    <col min="1" max="1" width="24.85546875" customWidth="1"/>
    <col min="2" max="2" width="10" customWidth="1"/>
    <col min="3" max="3" width="10.85546875" customWidth="1"/>
    <col min="4" max="4" width="12.140625" customWidth="1"/>
    <col min="5" max="5" width="14" customWidth="1"/>
    <col min="6" max="6" width="22.7109375" customWidth="1"/>
    <col min="7" max="7" width="20.42578125" customWidth="1"/>
    <col min="8" max="8" width="14.140625" customWidth="1"/>
    <col min="9" max="9" width="15.7109375" hidden="1" customWidth="1"/>
    <col min="10" max="10" width="14" customWidth="1"/>
    <col min="11" max="11" width="12.28515625" customWidth="1"/>
    <col min="12" max="12" width="8.42578125" customWidth="1"/>
    <col min="13" max="13" width="10.28515625" customWidth="1"/>
    <col min="14" max="14" width="11.42578125" customWidth="1"/>
    <col min="15" max="15" width="14" customWidth="1"/>
    <col min="16" max="16" width="12.7109375" customWidth="1"/>
    <col min="17" max="17" width="12.140625" customWidth="1"/>
    <col min="18" max="18" width="12.7109375" customWidth="1"/>
    <col min="19" max="19" width="15" hidden="1" customWidth="1"/>
    <col min="20" max="20" width="12.28515625" customWidth="1"/>
    <col min="21" max="21" width="13.7109375" hidden="1" customWidth="1"/>
    <col min="22" max="22" width="18.28515625" hidden="1" customWidth="1"/>
    <col min="23" max="24" width="2.42578125" hidden="1" customWidth="1"/>
    <col min="25" max="25" width="10.85546875" customWidth="1"/>
    <col min="29" max="29" width="15.85546875" customWidth="1"/>
  </cols>
  <sheetData>
    <row r="5" spans="1:25" ht="15.95" thickBot="1"/>
    <row r="6" spans="1:25" ht="48.95" thickBot="1">
      <c r="A6" s="38" t="s">
        <v>0</v>
      </c>
      <c r="B6" s="39" t="s">
        <v>1</v>
      </c>
      <c r="C6" s="39" t="s">
        <v>2</v>
      </c>
      <c r="D6" s="39" t="s">
        <v>3</v>
      </c>
      <c r="E6" s="39" t="s">
        <v>4</v>
      </c>
      <c r="F6" s="39" t="s">
        <v>5</v>
      </c>
      <c r="G6" s="39" t="s">
        <v>6</v>
      </c>
      <c r="H6" s="40" t="s">
        <v>7</v>
      </c>
      <c r="I6" s="70" t="s">
        <v>8</v>
      </c>
      <c r="J6" s="38" t="s">
        <v>9</v>
      </c>
      <c r="K6" s="44" t="s">
        <v>10</v>
      </c>
      <c r="L6" s="44" t="s">
        <v>11</v>
      </c>
      <c r="M6" s="39" t="s">
        <v>12</v>
      </c>
      <c r="N6" s="39" t="s">
        <v>13</v>
      </c>
      <c r="O6" s="39" t="s">
        <v>14</v>
      </c>
      <c r="P6" s="39" t="s">
        <v>15</v>
      </c>
      <c r="Q6" s="39" t="s">
        <v>16</v>
      </c>
      <c r="R6" s="39" t="s">
        <v>17</v>
      </c>
      <c r="S6" s="39" t="s">
        <v>18</v>
      </c>
      <c r="T6" s="40" t="s">
        <v>19</v>
      </c>
      <c r="U6" s="71" t="s">
        <v>20</v>
      </c>
      <c r="V6" s="72" t="s">
        <v>21</v>
      </c>
      <c r="W6" s="41" t="s">
        <v>22</v>
      </c>
      <c r="X6" s="42"/>
      <c r="Y6" s="43" t="s">
        <v>23</v>
      </c>
    </row>
    <row r="7" spans="1:25">
      <c r="A7" s="24" t="s">
        <v>24</v>
      </c>
      <c r="B7" s="17">
        <v>264</v>
      </c>
      <c r="C7" s="17">
        <f>B7*1000</f>
        <v>264000</v>
      </c>
      <c r="D7" s="33">
        <v>0</v>
      </c>
      <c r="E7" s="33">
        <v>0</v>
      </c>
      <c r="F7" s="33">
        <v>0</v>
      </c>
      <c r="G7" s="33">
        <v>0</v>
      </c>
      <c r="H7" s="34">
        <v>0</v>
      </c>
      <c r="I7">
        <f t="shared" ref="I7:I26" si="0">SUMPRODUCT(D7:H7, N$31:R$31)</f>
        <v>0</v>
      </c>
      <c r="J7" s="17">
        <f t="shared" ref="J7:J26" si="1">(SUMPRODUCT(D7:H7, N$31:R$31)*0.35)/3.6</f>
        <v>0</v>
      </c>
      <c r="K7" s="17">
        <f t="shared" ref="K7:K26" si="2">($R$31*H7*0.35)/3.6</f>
        <v>0</v>
      </c>
      <c r="L7" s="30">
        <f>VLOOKUP(A7,F29:G49,2,FALSE)</f>
        <v>36</v>
      </c>
      <c r="M7" s="17">
        <f>L7*J7</f>
        <v>0</v>
      </c>
      <c r="N7" s="17">
        <f t="shared" ref="N7:N26" si="3">45*($R$31*H7*0.35)/3.6</f>
        <v>0</v>
      </c>
      <c r="O7" s="17">
        <f t="shared" ref="O7:O26" si="4">SUMPRODUCT(D7:H7, N$31:R$31)*0.35*0.65/3.6</f>
        <v>0</v>
      </c>
      <c r="P7" s="17">
        <f t="shared" ref="P7:P26" si="5">SUMPRODUCT(D7:H7, N$30:R$30)</f>
        <v>0</v>
      </c>
      <c r="Q7" s="17">
        <f>J7*0.8*0.87*30</f>
        <v>0</v>
      </c>
      <c r="R7" s="17">
        <f>IFERROR(M7+N7-O7-P7-Q7,0)</f>
        <v>0</v>
      </c>
      <c r="S7" s="17">
        <f t="shared" ref="S7:S26" si="6">H7*$R$31</f>
        <v>0</v>
      </c>
      <c r="T7" s="17">
        <f t="shared" ref="T7:T26" si="7">SUMPRODUCT(D7:H7, N$32:R$32)*0.01</f>
        <v>0</v>
      </c>
      <c r="U7">
        <f>IFERROR(S7/I7,0)</f>
        <v>0</v>
      </c>
      <c r="V7">
        <f>0.1*I7</f>
        <v>0</v>
      </c>
      <c r="W7">
        <f t="shared" ref="W7:W27" si="8">SUMPRODUCT($N$31:$Q$31,D7:G7)</f>
        <v>0</v>
      </c>
      <c r="Y7" s="16">
        <f>K7-0.1*J7</f>
        <v>0</v>
      </c>
    </row>
    <row r="8" spans="1:25">
      <c r="A8" s="26" t="s">
        <v>25</v>
      </c>
      <c r="B8" s="16">
        <v>264</v>
      </c>
      <c r="C8" s="17">
        <f t="shared" ref="C8:C26" si="9">B8*1000</f>
        <v>264000</v>
      </c>
      <c r="D8" s="35">
        <v>0</v>
      </c>
      <c r="E8" s="35">
        <v>0</v>
      </c>
      <c r="F8" s="35">
        <v>0</v>
      </c>
      <c r="G8" s="35">
        <v>0</v>
      </c>
      <c r="H8" s="36">
        <v>0</v>
      </c>
      <c r="I8">
        <f t="shared" si="0"/>
        <v>0</v>
      </c>
      <c r="J8" s="17">
        <f t="shared" si="1"/>
        <v>0</v>
      </c>
      <c r="K8" s="16">
        <f t="shared" si="2"/>
        <v>0</v>
      </c>
      <c r="L8" s="30">
        <f t="shared" ref="L8:L26" si="10">VLOOKUP(A8,F30:G51,2,FALSE)</f>
        <v>27</v>
      </c>
      <c r="M8" s="17">
        <f t="shared" ref="M8:M26" si="11">L8*J8</f>
        <v>0</v>
      </c>
      <c r="N8" s="16">
        <f t="shared" si="3"/>
        <v>0</v>
      </c>
      <c r="O8" s="16">
        <f t="shared" si="4"/>
        <v>0</v>
      </c>
      <c r="P8" s="16">
        <f t="shared" si="5"/>
        <v>0</v>
      </c>
      <c r="Q8" s="17">
        <f t="shared" ref="Q8:Q26" si="12">J8*0.8*0.87*30</f>
        <v>0</v>
      </c>
      <c r="R8" s="16">
        <f t="shared" ref="R8:R26" si="13">IFERROR(M8+N8-O8-P8-Q8,0)</f>
        <v>0</v>
      </c>
      <c r="S8" s="16">
        <f t="shared" si="6"/>
        <v>0</v>
      </c>
      <c r="T8" s="16">
        <f t="shared" si="7"/>
        <v>0</v>
      </c>
      <c r="U8">
        <f t="shared" ref="U8:U26" si="14">IFERROR(S8/I8,0)</f>
        <v>0</v>
      </c>
      <c r="V8">
        <f t="shared" ref="V8:V26" si="15">0.1*I8</f>
        <v>0</v>
      </c>
      <c r="W8">
        <f t="shared" si="8"/>
        <v>0</v>
      </c>
      <c r="Y8" s="16">
        <f t="shared" ref="Y8:Y26" si="16">K8-0.1*J8</f>
        <v>0</v>
      </c>
    </row>
    <row r="9" spans="1:25">
      <c r="A9" s="26" t="s">
        <v>26</v>
      </c>
      <c r="B9" s="16">
        <v>96</v>
      </c>
      <c r="C9" s="17">
        <f t="shared" si="9"/>
        <v>96000</v>
      </c>
      <c r="D9" s="35">
        <v>0</v>
      </c>
      <c r="E9" s="35">
        <v>0</v>
      </c>
      <c r="F9" s="35">
        <v>0</v>
      </c>
      <c r="G9" s="35">
        <v>0</v>
      </c>
      <c r="H9" s="36">
        <v>0</v>
      </c>
      <c r="I9">
        <f t="shared" si="0"/>
        <v>0</v>
      </c>
      <c r="J9" s="17">
        <f t="shared" si="1"/>
        <v>0</v>
      </c>
      <c r="K9" s="16">
        <f t="shared" si="2"/>
        <v>0</v>
      </c>
      <c r="L9" s="30">
        <f t="shared" si="10"/>
        <v>33.5</v>
      </c>
      <c r="M9" s="17">
        <f t="shared" si="11"/>
        <v>0</v>
      </c>
      <c r="N9" s="16">
        <f t="shared" si="3"/>
        <v>0</v>
      </c>
      <c r="O9" s="16">
        <f t="shared" si="4"/>
        <v>0</v>
      </c>
      <c r="P9" s="16">
        <f t="shared" si="5"/>
        <v>0</v>
      </c>
      <c r="Q9" s="17">
        <f t="shared" si="12"/>
        <v>0</v>
      </c>
      <c r="R9" s="16">
        <f t="shared" si="13"/>
        <v>0</v>
      </c>
      <c r="S9" s="16">
        <f t="shared" si="6"/>
        <v>0</v>
      </c>
      <c r="T9" s="16">
        <f t="shared" si="7"/>
        <v>0</v>
      </c>
      <c r="U9">
        <f t="shared" si="14"/>
        <v>0</v>
      </c>
      <c r="V9">
        <f t="shared" si="15"/>
        <v>0</v>
      </c>
      <c r="W9">
        <f t="shared" si="8"/>
        <v>0</v>
      </c>
      <c r="Y9" s="16">
        <f t="shared" si="16"/>
        <v>0</v>
      </c>
    </row>
    <row r="10" spans="1:25">
      <c r="A10" s="26" t="s">
        <v>27</v>
      </c>
      <c r="B10" s="16">
        <v>96</v>
      </c>
      <c r="C10" s="17">
        <f t="shared" si="9"/>
        <v>96000</v>
      </c>
      <c r="D10" s="35">
        <v>0</v>
      </c>
      <c r="E10" s="35">
        <v>0</v>
      </c>
      <c r="F10" s="35">
        <v>0</v>
      </c>
      <c r="G10" s="35">
        <v>0</v>
      </c>
      <c r="H10" s="36">
        <v>0</v>
      </c>
      <c r="I10">
        <f t="shared" si="0"/>
        <v>0</v>
      </c>
      <c r="J10" s="17">
        <f t="shared" si="1"/>
        <v>0</v>
      </c>
      <c r="K10" s="16">
        <f t="shared" si="2"/>
        <v>0</v>
      </c>
      <c r="L10" s="30">
        <f t="shared" si="10"/>
        <v>26.2</v>
      </c>
      <c r="M10" s="17">
        <f t="shared" si="11"/>
        <v>0</v>
      </c>
      <c r="N10" s="16">
        <f t="shared" si="3"/>
        <v>0</v>
      </c>
      <c r="O10" s="16">
        <f t="shared" si="4"/>
        <v>0</v>
      </c>
      <c r="P10" s="16">
        <f t="shared" si="5"/>
        <v>0</v>
      </c>
      <c r="Q10" s="17">
        <f t="shared" si="12"/>
        <v>0</v>
      </c>
      <c r="R10" s="16">
        <f t="shared" si="13"/>
        <v>0</v>
      </c>
      <c r="S10" s="16">
        <f t="shared" si="6"/>
        <v>0</v>
      </c>
      <c r="T10" s="16">
        <f t="shared" si="7"/>
        <v>0</v>
      </c>
      <c r="U10">
        <f t="shared" si="14"/>
        <v>0</v>
      </c>
      <c r="V10">
        <f t="shared" si="15"/>
        <v>0</v>
      </c>
      <c r="W10">
        <f t="shared" si="8"/>
        <v>0</v>
      </c>
      <c r="Y10" s="16">
        <f t="shared" si="16"/>
        <v>0</v>
      </c>
    </row>
    <row r="11" spans="1:25">
      <c r="A11" s="26" t="s">
        <v>28</v>
      </c>
      <c r="B11" s="16">
        <v>264</v>
      </c>
      <c r="C11" s="17">
        <f t="shared" si="9"/>
        <v>264000</v>
      </c>
      <c r="D11" s="35">
        <v>0</v>
      </c>
      <c r="E11" s="35">
        <v>0</v>
      </c>
      <c r="F11" s="35">
        <v>0</v>
      </c>
      <c r="G11" s="35">
        <v>0</v>
      </c>
      <c r="H11" s="36">
        <v>0</v>
      </c>
      <c r="I11">
        <f t="shared" si="0"/>
        <v>0</v>
      </c>
      <c r="J11" s="17">
        <f t="shared" si="1"/>
        <v>0</v>
      </c>
      <c r="K11" s="16">
        <f t="shared" si="2"/>
        <v>0</v>
      </c>
      <c r="L11" s="30">
        <f t="shared" si="10"/>
        <v>36.35</v>
      </c>
      <c r="M11" s="17">
        <f t="shared" si="11"/>
        <v>0</v>
      </c>
      <c r="N11" s="16">
        <f t="shared" si="3"/>
        <v>0</v>
      </c>
      <c r="O11" s="16">
        <f t="shared" si="4"/>
        <v>0</v>
      </c>
      <c r="P11" s="16">
        <f t="shared" si="5"/>
        <v>0</v>
      </c>
      <c r="Q11" s="17">
        <f t="shared" si="12"/>
        <v>0</v>
      </c>
      <c r="R11" s="16">
        <f t="shared" si="13"/>
        <v>0</v>
      </c>
      <c r="S11" s="16">
        <f t="shared" si="6"/>
        <v>0</v>
      </c>
      <c r="T11" s="16">
        <f t="shared" si="7"/>
        <v>0</v>
      </c>
      <c r="U11">
        <f t="shared" si="14"/>
        <v>0</v>
      </c>
      <c r="V11">
        <f t="shared" si="15"/>
        <v>0</v>
      </c>
      <c r="W11">
        <f t="shared" si="8"/>
        <v>0</v>
      </c>
      <c r="Y11" s="16">
        <f t="shared" si="16"/>
        <v>0</v>
      </c>
    </row>
    <row r="12" spans="1:25">
      <c r="A12" s="26" t="s">
        <v>29</v>
      </c>
      <c r="B12" s="16">
        <v>264</v>
      </c>
      <c r="C12" s="17">
        <f t="shared" si="9"/>
        <v>264000</v>
      </c>
      <c r="D12" s="35">
        <v>0</v>
      </c>
      <c r="E12" s="35">
        <v>0</v>
      </c>
      <c r="F12" s="35">
        <v>0</v>
      </c>
      <c r="G12" s="35">
        <v>0</v>
      </c>
      <c r="H12" s="36">
        <v>0</v>
      </c>
      <c r="I12">
        <f t="shared" si="0"/>
        <v>0</v>
      </c>
      <c r="J12" s="17">
        <f t="shared" si="1"/>
        <v>0</v>
      </c>
      <c r="K12" s="16">
        <f t="shared" si="2"/>
        <v>0</v>
      </c>
      <c r="L12" s="30">
        <f t="shared" si="10"/>
        <v>27</v>
      </c>
      <c r="M12" s="17">
        <f t="shared" si="11"/>
        <v>0</v>
      </c>
      <c r="N12" s="16">
        <f t="shared" si="3"/>
        <v>0</v>
      </c>
      <c r="O12" s="16">
        <f t="shared" si="4"/>
        <v>0</v>
      </c>
      <c r="P12" s="16">
        <f t="shared" si="5"/>
        <v>0</v>
      </c>
      <c r="Q12" s="17">
        <f t="shared" si="12"/>
        <v>0</v>
      </c>
      <c r="R12" s="16">
        <f t="shared" si="13"/>
        <v>0</v>
      </c>
      <c r="S12" s="16">
        <f t="shared" si="6"/>
        <v>0</v>
      </c>
      <c r="T12" s="16">
        <f t="shared" si="7"/>
        <v>0</v>
      </c>
      <c r="U12">
        <f t="shared" si="14"/>
        <v>0</v>
      </c>
      <c r="V12">
        <f t="shared" si="15"/>
        <v>0</v>
      </c>
      <c r="W12">
        <f t="shared" si="8"/>
        <v>0</v>
      </c>
      <c r="Y12" s="16">
        <f t="shared" si="16"/>
        <v>0</v>
      </c>
    </row>
    <row r="13" spans="1:25">
      <c r="A13" s="26" t="s">
        <v>30</v>
      </c>
      <c r="B13" s="16">
        <v>108</v>
      </c>
      <c r="C13" s="17">
        <f t="shared" si="9"/>
        <v>108000</v>
      </c>
      <c r="D13" s="35">
        <v>0</v>
      </c>
      <c r="E13" s="35">
        <v>0</v>
      </c>
      <c r="F13" s="35">
        <v>0</v>
      </c>
      <c r="G13" s="35">
        <v>0</v>
      </c>
      <c r="H13" s="36">
        <v>0</v>
      </c>
      <c r="I13">
        <f t="shared" si="0"/>
        <v>0</v>
      </c>
      <c r="J13" s="17">
        <f t="shared" si="1"/>
        <v>0</v>
      </c>
      <c r="K13" s="16">
        <f t="shared" si="2"/>
        <v>0</v>
      </c>
      <c r="L13" s="30">
        <f t="shared" si="10"/>
        <v>34.299999999999997</v>
      </c>
      <c r="M13" s="17">
        <f t="shared" si="11"/>
        <v>0</v>
      </c>
      <c r="N13" s="16">
        <f t="shared" si="3"/>
        <v>0</v>
      </c>
      <c r="O13" s="16">
        <f t="shared" si="4"/>
        <v>0</v>
      </c>
      <c r="P13" s="16">
        <f t="shared" si="5"/>
        <v>0</v>
      </c>
      <c r="Q13" s="17">
        <f t="shared" si="12"/>
        <v>0</v>
      </c>
      <c r="R13" s="16">
        <f t="shared" si="13"/>
        <v>0</v>
      </c>
      <c r="S13" s="16">
        <f t="shared" si="6"/>
        <v>0</v>
      </c>
      <c r="T13" s="16">
        <f t="shared" si="7"/>
        <v>0</v>
      </c>
      <c r="U13">
        <f t="shared" si="14"/>
        <v>0</v>
      </c>
      <c r="V13">
        <f t="shared" si="15"/>
        <v>0</v>
      </c>
      <c r="W13">
        <f t="shared" si="8"/>
        <v>0</v>
      </c>
      <c r="Y13" s="16">
        <f t="shared" si="16"/>
        <v>0</v>
      </c>
    </row>
    <row r="14" spans="1:25">
      <c r="A14" s="26" t="s">
        <v>31</v>
      </c>
      <c r="B14" s="16">
        <v>108</v>
      </c>
      <c r="C14" s="17">
        <f t="shared" si="9"/>
        <v>108000</v>
      </c>
      <c r="D14" s="35">
        <v>0</v>
      </c>
      <c r="E14" s="35">
        <v>0</v>
      </c>
      <c r="F14" s="35">
        <v>0</v>
      </c>
      <c r="G14" s="35">
        <v>0</v>
      </c>
      <c r="H14" s="36">
        <v>0</v>
      </c>
      <c r="I14">
        <f t="shared" si="0"/>
        <v>0</v>
      </c>
      <c r="J14" s="17">
        <f t="shared" si="1"/>
        <v>0</v>
      </c>
      <c r="K14" s="16">
        <f t="shared" si="2"/>
        <v>0</v>
      </c>
      <c r="L14" s="30">
        <f t="shared" si="10"/>
        <v>26.3</v>
      </c>
      <c r="M14" s="17">
        <f t="shared" si="11"/>
        <v>0</v>
      </c>
      <c r="N14" s="16">
        <f t="shared" si="3"/>
        <v>0</v>
      </c>
      <c r="O14" s="16">
        <f t="shared" si="4"/>
        <v>0</v>
      </c>
      <c r="P14" s="16">
        <f t="shared" si="5"/>
        <v>0</v>
      </c>
      <c r="Q14" s="17">
        <f t="shared" si="12"/>
        <v>0</v>
      </c>
      <c r="R14" s="16">
        <f t="shared" si="13"/>
        <v>0</v>
      </c>
      <c r="S14" s="16">
        <f t="shared" si="6"/>
        <v>0</v>
      </c>
      <c r="T14" s="16">
        <f t="shared" si="7"/>
        <v>0</v>
      </c>
      <c r="U14">
        <f t="shared" si="14"/>
        <v>0</v>
      </c>
      <c r="V14">
        <f t="shared" si="15"/>
        <v>0</v>
      </c>
      <c r="W14">
        <f t="shared" si="8"/>
        <v>0</v>
      </c>
      <c r="Y14" s="16">
        <f t="shared" si="16"/>
        <v>0</v>
      </c>
    </row>
    <row r="15" spans="1:25">
      <c r="A15" s="26" t="s">
        <v>32</v>
      </c>
      <c r="B15" s="16">
        <v>264</v>
      </c>
      <c r="C15" s="17">
        <f t="shared" si="9"/>
        <v>264000</v>
      </c>
      <c r="D15" s="35">
        <v>94687.551890186543</v>
      </c>
      <c r="E15" s="35">
        <v>0</v>
      </c>
      <c r="F15" s="35">
        <v>0</v>
      </c>
      <c r="G15" s="35">
        <v>0</v>
      </c>
      <c r="H15" s="36">
        <v>15085.714285714288</v>
      </c>
      <c r="I15">
        <f t="shared" si="0"/>
        <v>2715428.5714285718</v>
      </c>
      <c r="J15" s="17">
        <f t="shared" si="1"/>
        <v>264000</v>
      </c>
      <c r="K15" s="16">
        <f t="shared" si="2"/>
        <v>26400</v>
      </c>
      <c r="L15" s="30">
        <f t="shared" si="10"/>
        <v>37.65</v>
      </c>
      <c r="M15" s="17">
        <f t="shared" si="11"/>
        <v>9939600</v>
      </c>
      <c r="N15" s="16">
        <f t="shared" si="3"/>
        <v>1188000</v>
      </c>
      <c r="O15" s="16">
        <f t="shared" si="4"/>
        <v>171600.00000000003</v>
      </c>
      <c r="P15" s="16">
        <f t="shared" si="5"/>
        <v>5142775.3513034824</v>
      </c>
      <c r="Q15" s="17">
        <f t="shared" si="12"/>
        <v>5512320</v>
      </c>
      <c r="R15" s="16">
        <f t="shared" si="13"/>
        <v>300904.64869651757</v>
      </c>
      <c r="S15" s="16">
        <f t="shared" si="6"/>
        <v>271542.85714285716</v>
      </c>
      <c r="T15" s="16">
        <f t="shared" si="7"/>
        <v>1308.1967875131456</v>
      </c>
      <c r="U15">
        <f t="shared" si="14"/>
        <v>9.9999999999999992E-2</v>
      </c>
      <c r="V15">
        <f t="shared" si="15"/>
        <v>271542.85714285722</v>
      </c>
      <c r="W15">
        <f t="shared" si="8"/>
        <v>2443885.7142857146</v>
      </c>
      <c r="Y15" s="16">
        <f t="shared" si="16"/>
        <v>0</v>
      </c>
    </row>
    <row r="16" spans="1:25">
      <c r="A16" s="26" t="s">
        <v>33</v>
      </c>
      <c r="B16" s="16">
        <v>264</v>
      </c>
      <c r="C16" s="17">
        <f t="shared" si="9"/>
        <v>264000</v>
      </c>
      <c r="D16" s="35">
        <v>0</v>
      </c>
      <c r="E16" s="35">
        <v>0</v>
      </c>
      <c r="F16" s="35">
        <v>0</v>
      </c>
      <c r="G16" s="35">
        <v>0</v>
      </c>
      <c r="H16" s="36">
        <v>0</v>
      </c>
      <c r="I16">
        <f t="shared" si="0"/>
        <v>0</v>
      </c>
      <c r="J16" s="17">
        <f t="shared" si="1"/>
        <v>0</v>
      </c>
      <c r="K16" s="16">
        <f t="shared" si="2"/>
        <v>0</v>
      </c>
      <c r="L16" s="30">
        <f t="shared" si="10"/>
        <v>28.2</v>
      </c>
      <c r="M16" s="17">
        <f t="shared" si="11"/>
        <v>0</v>
      </c>
      <c r="N16" s="16">
        <f t="shared" si="3"/>
        <v>0</v>
      </c>
      <c r="O16" s="16">
        <f t="shared" si="4"/>
        <v>0</v>
      </c>
      <c r="P16" s="16">
        <f t="shared" si="5"/>
        <v>0</v>
      </c>
      <c r="Q16" s="17">
        <f t="shared" si="12"/>
        <v>0</v>
      </c>
      <c r="R16" s="16">
        <f t="shared" si="13"/>
        <v>0</v>
      </c>
      <c r="S16" s="16">
        <f t="shared" si="6"/>
        <v>0</v>
      </c>
      <c r="T16" s="16">
        <f t="shared" si="7"/>
        <v>0</v>
      </c>
      <c r="U16">
        <f t="shared" si="14"/>
        <v>0</v>
      </c>
      <c r="V16">
        <f t="shared" si="15"/>
        <v>0</v>
      </c>
      <c r="W16">
        <f t="shared" si="8"/>
        <v>0</v>
      </c>
      <c r="Y16" s="16">
        <f t="shared" si="16"/>
        <v>0</v>
      </c>
    </row>
    <row r="17" spans="1:25">
      <c r="A17" s="26" t="s">
        <v>34</v>
      </c>
      <c r="B17" s="16">
        <v>108</v>
      </c>
      <c r="C17" s="17">
        <f t="shared" si="9"/>
        <v>108000</v>
      </c>
      <c r="D17" s="35">
        <v>0</v>
      </c>
      <c r="E17" s="35">
        <v>0</v>
      </c>
      <c r="F17" s="35">
        <v>0</v>
      </c>
      <c r="G17" s="35">
        <v>0</v>
      </c>
      <c r="H17" s="36">
        <v>0</v>
      </c>
      <c r="I17">
        <f t="shared" si="0"/>
        <v>0</v>
      </c>
      <c r="J17" s="17">
        <f t="shared" si="1"/>
        <v>0</v>
      </c>
      <c r="K17" s="16">
        <f t="shared" si="2"/>
        <v>0</v>
      </c>
      <c r="L17" s="30">
        <f t="shared" si="10"/>
        <v>35.65</v>
      </c>
      <c r="M17" s="17">
        <f t="shared" si="11"/>
        <v>0</v>
      </c>
      <c r="N17" s="16">
        <f t="shared" si="3"/>
        <v>0</v>
      </c>
      <c r="O17" s="16">
        <f t="shared" si="4"/>
        <v>0</v>
      </c>
      <c r="P17" s="16">
        <f t="shared" si="5"/>
        <v>0</v>
      </c>
      <c r="Q17" s="17">
        <f t="shared" si="12"/>
        <v>0</v>
      </c>
      <c r="R17" s="16">
        <f t="shared" si="13"/>
        <v>0</v>
      </c>
      <c r="S17" s="16">
        <f t="shared" si="6"/>
        <v>0</v>
      </c>
      <c r="T17" s="16">
        <f t="shared" si="7"/>
        <v>0</v>
      </c>
      <c r="U17">
        <f t="shared" si="14"/>
        <v>0</v>
      </c>
      <c r="V17">
        <f t="shared" si="15"/>
        <v>0</v>
      </c>
      <c r="W17">
        <f t="shared" si="8"/>
        <v>0</v>
      </c>
      <c r="Y17" s="16">
        <f t="shared" si="16"/>
        <v>0</v>
      </c>
    </row>
    <row r="18" spans="1:25">
      <c r="A18" s="26" t="s">
        <v>35</v>
      </c>
      <c r="B18" s="16">
        <v>108</v>
      </c>
      <c r="C18" s="17">
        <f t="shared" si="9"/>
        <v>108000</v>
      </c>
      <c r="D18" s="35">
        <v>0</v>
      </c>
      <c r="E18" s="35">
        <v>0</v>
      </c>
      <c r="F18" s="35">
        <v>0</v>
      </c>
      <c r="G18" s="35">
        <v>0</v>
      </c>
      <c r="H18" s="36">
        <v>0</v>
      </c>
      <c r="I18">
        <f t="shared" si="0"/>
        <v>0</v>
      </c>
      <c r="J18" s="17">
        <f t="shared" si="1"/>
        <v>0</v>
      </c>
      <c r="K18" s="16">
        <f t="shared" si="2"/>
        <v>0</v>
      </c>
      <c r="L18" s="30">
        <f t="shared" si="10"/>
        <v>27.5</v>
      </c>
      <c r="M18" s="17">
        <f t="shared" si="11"/>
        <v>0</v>
      </c>
      <c r="N18" s="16">
        <f t="shared" si="3"/>
        <v>0</v>
      </c>
      <c r="O18" s="16">
        <f t="shared" si="4"/>
        <v>0</v>
      </c>
      <c r="P18" s="16">
        <f t="shared" si="5"/>
        <v>0</v>
      </c>
      <c r="Q18" s="17">
        <f t="shared" si="12"/>
        <v>0</v>
      </c>
      <c r="R18" s="16">
        <f t="shared" si="13"/>
        <v>0</v>
      </c>
      <c r="S18" s="16">
        <f t="shared" si="6"/>
        <v>0</v>
      </c>
      <c r="T18" s="16">
        <f t="shared" si="7"/>
        <v>0</v>
      </c>
      <c r="U18">
        <f t="shared" si="14"/>
        <v>0</v>
      </c>
      <c r="V18">
        <f t="shared" si="15"/>
        <v>0</v>
      </c>
      <c r="W18">
        <f t="shared" si="8"/>
        <v>0</v>
      </c>
      <c r="Y18" s="16">
        <f t="shared" si="16"/>
        <v>0</v>
      </c>
    </row>
    <row r="19" spans="1:25">
      <c r="A19" s="26" t="s">
        <v>36</v>
      </c>
      <c r="B19" s="16">
        <v>264</v>
      </c>
      <c r="C19" s="17">
        <f t="shared" si="9"/>
        <v>264000</v>
      </c>
      <c r="D19" s="35">
        <v>0</v>
      </c>
      <c r="E19" s="35">
        <v>0</v>
      </c>
      <c r="F19" s="35">
        <v>0</v>
      </c>
      <c r="G19" s="35">
        <v>93278.080697927988</v>
      </c>
      <c r="H19" s="36">
        <v>15085.71428571429</v>
      </c>
      <c r="I19">
        <f t="shared" si="0"/>
        <v>2715428.5714285704</v>
      </c>
      <c r="J19" s="17">
        <f t="shared" si="1"/>
        <v>263999.99999999988</v>
      </c>
      <c r="K19" s="16">
        <f t="shared" si="2"/>
        <v>26400.000000000004</v>
      </c>
      <c r="L19" s="30">
        <f t="shared" si="10"/>
        <v>38.35</v>
      </c>
      <c r="M19" s="17">
        <f t="shared" si="11"/>
        <v>10124399.999999996</v>
      </c>
      <c r="N19" s="16">
        <f t="shared" si="3"/>
        <v>1188000.0000000002</v>
      </c>
      <c r="O19" s="16">
        <f t="shared" si="4"/>
        <v>171599.99999999994</v>
      </c>
      <c r="P19" s="16">
        <f t="shared" si="5"/>
        <v>5030552.5321701188</v>
      </c>
      <c r="Q19" s="17">
        <f t="shared" si="12"/>
        <v>5512319.9999999972</v>
      </c>
      <c r="R19" s="16">
        <f t="shared" si="13"/>
        <v>597927.4678298803</v>
      </c>
      <c r="S19" s="16">
        <f t="shared" si="6"/>
        <v>271542.85714285722</v>
      </c>
      <c r="T19" s="16">
        <f t="shared" si="7"/>
        <v>1605.8915594329328</v>
      </c>
      <c r="U19">
        <f t="shared" si="14"/>
        <v>0.10000000000000006</v>
      </c>
      <c r="V19">
        <f t="shared" si="15"/>
        <v>271542.85714285704</v>
      </c>
      <c r="W19">
        <f t="shared" si="8"/>
        <v>2443885.7142857132</v>
      </c>
      <c r="Y19" s="16">
        <f t="shared" si="16"/>
        <v>0</v>
      </c>
    </row>
    <row r="20" spans="1:25">
      <c r="A20" s="26" t="s">
        <v>37</v>
      </c>
      <c r="B20" s="16">
        <v>264</v>
      </c>
      <c r="C20" s="17">
        <f t="shared" si="9"/>
        <v>264000</v>
      </c>
      <c r="D20" s="35">
        <v>0</v>
      </c>
      <c r="E20" s="35">
        <v>0</v>
      </c>
      <c r="F20" s="35">
        <v>0</v>
      </c>
      <c r="G20" s="35">
        <v>0</v>
      </c>
      <c r="H20" s="36">
        <v>0</v>
      </c>
      <c r="I20">
        <f t="shared" si="0"/>
        <v>0</v>
      </c>
      <c r="J20" s="17">
        <f t="shared" si="1"/>
        <v>0</v>
      </c>
      <c r="K20" s="16">
        <f t="shared" si="2"/>
        <v>0</v>
      </c>
      <c r="L20" s="30">
        <f t="shared" si="10"/>
        <v>28.5</v>
      </c>
      <c r="M20" s="17">
        <f t="shared" si="11"/>
        <v>0</v>
      </c>
      <c r="N20" s="16">
        <f t="shared" si="3"/>
        <v>0</v>
      </c>
      <c r="O20" s="16">
        <f t="shared" si="4"/>
        <v>0</v>
      </c>
      <c r="P20" s="16">
        <f t="shared" si="5"/>
        <v>0</v>
      </c>
      <c r="Q20" s="17">
        <f t="shared" si="12"/>
        <v>0</v>
      </c>
      <c r="R20" s="16">
        <f t="shared" si="13"/>
        <v>0</v>
      </c>
      <c r="S20" s="16">
        <f t="shared" si="6"/>
        <v>0</v>
      </c>
      <c r="T20" s="16">
        <f t="shared" si="7"/>
        <v>0</v>
      </c>
      <c r="U20">
        <f t="shared" si="14"/>
        <v>0</v>
      </c>
      <c r="V20">
        <f t="shared" si="15"/>
        <v>0</v>
      </c>
      <c r="W20">
        <f t="shared" si="8"/>
        <v>0</v>
      </c>
      <c r="Y20" s="16">
        <f t="shared" si="16"/>
        <v>0</v>
      </c>
    </row>
    <row r="21" spans="1:25">
      <c r="A21" s="26" t="s">
        <v>38</v>
      </c>
      <c r="B21" s="16">
        <v>96</v>
      </c>
      <c r="C21" s="17">
        <f t="shared" si="9"/>
        <v>96000</v>
      </c>
      <c r="D21" s="35">
        <v>0</v>
      </c>
      <c r="E21" s="35">
        <v>0</v>
      </c>
      <c r="F21" s="35">
        <v>0</v>
      </c>
      <c r="G21" s="35">
        <v>0</v>
      </c>
      <c r="H21" s="36">
        <v>0</v>
      </c>
      <c r="I21">
        <f t="shared" si="0"/>
        <v>0</v>
      </c>
      <c r="J21" s="17">
        <f t="shared" si="1"/>
        <v>0</v>
      </c>
      <c r="K21" s="16">
        <f t="shared" si="2"/>
        <v>0</v>
      </c>
      <c r="L21" s="30">
        <f t="shared" si="10"/>
        <v>35.799999999999997</v>
      </c>
      <c r="M21" s="17">
        <f t="shared" si="11"/>
        <v>0</v>
      </c>
      <c r="N21" s="16">
        <f t="shared" si="3"/>
        <v>0</v>
      </c>
      <c r="O21" s="16">
        <f t="shared" si="4"/>
        <v>0</v>
      </c>
      <c r="P21" s="16">
        <f t="shared" si="5"/>
        <v>0</v>
      </c>
      <c r="Q21" s="17">
        <f t="shared" si="12"/>
        <v>0</v>
      </c>
      <c r="R21" s="16">
        <f t="shared" si="13"/>
        <v>0</v>
      </c>
      <c r="S21" s="16">
        <f t="shared" si="6"/>
        <v>0</v>
      </c>
      <c r="T21" s="16">
        <f t="shared" si="7"/>
        <v>0</v>
      </c>
      <c r="U21">
        <f t="shared" si="14"/>
        <v>0</v>
      </c>
      <c r="V21">
        <f t="shared" si="15"/>
        <v>0</v>
      </c>
      <c r="W21">
        <f t="shared" si="8"/>
        <v>0</v>
      </c>
      <c r="Y21" s="16">
        <f t="shared" si="16"/>
        <v>0</v>
      </c>
    </row>
    <row r="22" spans="1:25">
      <c r="A22" s="26" t="s">
        <v>39</v>
      </c>
      <c r="B22" s="16">
        <v>96</v>
      </c>
      <c r="C22" s="17">
        <f t="shared" si="9"/>
        <v>96000</v>
      </c>
      <c r="D22" s="35">
        <v>0</v>
      </c>
      <c r="E22" s="35">
        <v>0</v>
      </c>
      <c r="F22" s="35">
        <v>0</v>
      </c>
      <c r="G22" s="35">
        <v>0</v>
      </c>
      <c r="H22" s="36">
        <v>0</v>
      </c>
      <c r="I22">
        <f t="shared" si="0"/>
        <v>0</v>
      </c>
      <c r="J22" s="17">
        <f t="shared" si="1"/>
        <v>0</v>
      </c>
      <c r="K22" s="16">
        <f t="shared" si="2"/>
        <v>0</v>
      </c>
      <c r="L22" s="30">
        <f t="shared" si="10"/>
        <v>27.65</v>
      </c>
      <c r="M22" s="17">
        <f t="shared" si="11"/>
        <v>0</v>
      </c>
      <c r="N22" s="16">
        <f t="shared" si="3"/>
        <v>0</v>
      </c>
      <c r="O22" s="16">
        <f t="shared" si="4"/>
        <v>0</v>
      </c>
      <c r="P22" s="16">
        <f t="shared" si="5"/>
        <v>0</v>
      </c>
      <c r="Q22" s="17">
        <f t="shared" si="12"/>
        <v>0</v>
      </c>
      <c r="R22" s="16">
        <f t="shared" si="13"/>
        <v>0</v>
      </c>
      <c r="S22" s="16">
        <f t="shared" si="6"/>
        <v>0</v>
      </c>
      <c r="T22" s="16">
        <f t="shared" si="7"/>
        <v>0</v>
      </c>
      <c r="U22">
        <f t="shared" si="14"/>
        <v>0</v>
      </c>
      <c r="V22">
        <f t="shared" si="15"/>
        <v>0</v>
      </c>
      <c r="W22">
        <f t="shared" si="8"/>
        <v>0</v>
      </c>
      <c r="Y22" s="16">
        <f t="shared" si="16"/>
        <v>0</v>
      </c>
    </row>
    <row r="23" spans="1:25">
      <c r="A23" s="26" t="s">
        <v>40</v>
      </c>
      <c r="B23" s="16">
        <v>252</v>
      </c>
      <c r="C23" s="17">
        <f t="shared" si="9"/>
        <v>252000</v>
      </c>
      <c r="D23" s="35">
        <v>0</v>
      </c>
      <c r="E23" s="35">
        <v>0</v>
      </c>
      <c r="F23" s="35">
        <v>0</v>
      </c>
      <c r="G23" s="35">
        <v>89038.167938931249</v>
      </c>
      <c r="H23" s="36">
        <v>14400</v>
      </c>
      <c r="I23">
        <f t="shared" si="0"/>
        <v>2591999.9999999986</v>
      </c>
      <c r="J23" s="17">
        <f t="shared" si="1"/>
        <v>251999.99999999983</v>
      </c>
      <c r="K23" s="16">
        <f t="shared" si="2"/>
        <v>25200</v>
      </c>
      <c r="L23" s="30">
        <f t="shared" si="10"/>
        <v>43.7</v>
      </c>
      <c r="M23" s="17">
        <f t="shared" si="11"/>
        <v>11012399.999999993</v>
      </c>
      <c r="N23" s="16">
        <f t="shared" si="3"/>
        <v>1134000</v>
      </c>
      <c r="O23" s="16">
        <f t="shared" si="4"/>
        <v>163799.99999999991</v>
      </c>
      <c r="P23" s="16">
        <f t="shared" si="5"/>
        <v>4801891.0534351123</v>
      </c>
      <c r="Q23" s="17">
        <f t="shared" si="12"/>
        <v>5261759.9999999963</v>
      </c>
      <c r="R23" s="16">
        <f t="shared" si="13"/>
        <v>1918948.9465648839</v>
      </c>
      <c r="S23" s="16">
        <f t="shared" si="6"/>
        <v>259200</v>
      </c>
      <c r="T23" s="16">
        <f t="shared" si="7"/>
        <v>1532.8964885496173</v>
      </c>
      <c r="U23">
        <f t="shared" si="14"/>
        <v>0.10000000000000005</v>
      </c>
      <c r="V23">
        <f t="shared" si="15"/>
        <v>259199.99999999988</v>
      </c>
      <c r="W23">
        <f t="shared" si="8"/>
        <v>2332799.9999999986</v>
      </c>
      <c r="Y23" s="16">
        <f t="shared" si="16"/>
        <v>0</v>
      </c>
    </row>
    <row r="24" spans="1:25">
      <c r="A24" s="26" t="s">
        <v>41</v>
      </c>
      <c r="B24" s="16">
        <v>252</v>
      </c>
      <c r="C24" s="17">
        <f t="shared" si="9"/>
        <v>252000</v>
      </c>
      <c r="D24" s="35">
        <v>0</v>
      </c>
      <c r="E24" s="35">
        <v>0</v>
      </c>
      <c r="F24" s="35">
        <v>0</v>
      </c>
      <c r="G24" s="35">
        <v>0</v>
      </c>
      <c r="H24" s="36">
        <v>0</v>
      </c>
      <c r="I24">
        <f t="shared" si="0"/>
        <v>0</v>
      </c>
      <c r="J24" s="17">
        <f t="shared" si="1"/>
        <v>0</v>
      </c>
      <c r="K24" s="16">
        <f t="shared" si="2"/>
        <v>0</v>
      </c>
      <c r="L24" s="30">
        <f t="shared" si="10"/>
        <v>31.7</v>
      </c>
      <c r="M24" s="17">
        <f t="shared" si="11"/>
        <v>0</v>
      </c>
      <c r="N24" s="16">
        <f t="shared" si="3"/>
        <v>0</v>
      </c>
      <c r="O24" s="16">
        <f t="shared" si="4"/>
        <v>0</v>
      </c>
      <c r="P24" s="16">
        <f t="shared" si="5"/>
        <v>0</v>
      </c>
      <c r="Q24" s="17">
        <f t="shared" si="12"/>
        <v>0</v>
      </c>
      <c r="R24" s="16">
        <f t="shared" si="13"/>
        <v>0</v>
      </c>
      <c r="S24" s="16">
        <f t="shared" si="6"/>
        <v>0</v>
      </c>
      <c r="T24" s="16">
        <f t="shared" si="7"/>
        <v>0</v>
      </c>
      <c r="U24">
        <f t="shared" si="14"/>
        <v>0</v>
      </c>
      <c r="V24">
        <f t="shared" si="15"/>
        <v>0</v>
      </c>
      <c r="W24">
        <f t="shared" si="8"/>
        <v>0</v>
      </c>
      <c r="Y24" s="16">
        <f t="shared" si="16"/>
        <v>0</v>
      </c>
    </row>
    <row r="25" spans="1:25">
      <c r="A25" s="26" t="s">
        <v>42</v>
      </c>
      <c r="B25" s="16">
        <v>120</v>
      </c>
      <c r="C25" s="17">
        <f t="shared" si="9"/>
        <v>120000</v>
      </c>
      <c r="D25" s="35">
        <v>0</v>
      </c>
      <c r="E25" s="35">
        <v>0</v>
      </c>
      <c r="F25" s="35">
        <v>0</v>
      </c>
      <c r="G25" s="35">
        <v>42399.127589967262</v>
      </c>
      <c r="H25" s="36">
        <v>6857.1428571428587</v>
      </c>
      <c r="I25">
        <f t="shared" si="0"/>
        <v>1234285.7142857136</v>
      </c>
      <c r="J25" s="17">
        <f t="shared" si="1"/>
        <v>119999.99999999993</v>
      </c>
      <c r="K25" s="16">
        <f t="shared" si="2"/>
        <v>12000.000000000002</v>
      </c>
      <c r="L25" s="30">
        <f t="shared" si="10"/>
        <v>38.700000000000003</v>
      </c>
      <c r="M25" s="17">
        <f t="shared" si="11"/>
        <v>4643999.9999999972</v>
      </c>
      <c r="N25" s="16">
        <f t="shared" si="3"/>
        <v>540000</v>
      </c>
      <c r="O25" s="16">
        <f t="shared" si="4"/>
        <v>77999.999999999971</v>
      </c>
      <c r="P25" s="16">
        <f t="shared" si="5"/>
        <v>2286614.7873500539</v>
      </c>
      <c r="Q25" s="17">
        <f t="shared" si="12"/>
        <v>2505599.9999999981</v>
      </c>
      <c r="R25" s="16">
        <f t="shared" si="13"/>
        <v>313785.21264994517</v>
      </c>
      <c r="S25" s="16">
        <f t="shared" si="6"/>
        <v>123428.57142857145</v>
      </c>
      <c r="T25" s="16">
        <f t="shared" si="7"/>
        <v>729.95070883315134</v>
      </c>
      <c r="U25">
        <f t="shared" si="14"/>
        <v>0.10000000000000007</v>
      </c>
      <c r="V25">
        <f t="shared" si="15"/>
        <v>123428.57142857136</v>
      </c>
      <c r="W25">
        <f t="shared" si="8"/>
        <v>1110857.1428571423</v>
      </c>
      <c r="Y25" s="16">
        <f t="shared" si="16"/>
        <v>0</v>
      </c>
    </row>
    <row r="26" spans="1:25" ht="15.95" thickBot="1">
      <c r="A26" s="73" t="s">
        <v>43</v>
      </c>
      <c r="B26" s="74">
        <v>120</v>
      </c>
      <c r="C26" s="17">
        <f t="shared" si="9"/>
        <v>120000</v>
      </c>
      <c r="D26" s="75">
        <v>0</v>
      </c>
      <c r="E26" s="75">
        <v>0</v>
      </c>
      <c r="F26" s="75">
        <v>0</v>
      </c>
      <c r="G26" s="75">
        <v>0</v>
      </c>
      <c r="H26" s="76">
        <v>0</v>
      </c>
      <c r="I26">
        <f t="shared" si="0"/>
        <v>0</v>
      </c>
      <c r="J26" s="17">
        <f t="shared" si="1"/>
        <v>0</v>
      </c>
      <c r="K26" s="74">
        <f t="shared" si="2"/>
        <v>0</v>
      </c>
      <c r="L26" s="30">
        <f t="shared" si="10"/>
        <v>30.1</v>
      </c>
      <c r="M26" s="17">
        <f t="shared" si="11"/>
        <v>0</v>
      </c>
      <c r="N26" s="74">
        <f t="shared" si="3"/>
        <v>0</v>
      </c>
      <c r="O26" s="74">
        <f t="shared" si="4"/>
        <v>0</v>
      </c>
      <c r="P26" s="74">
        <f t="shared" si="5"/>
        <v>0</v>
      </c>
      <c r="Q26" s="17">
        <f t="shared" si="12"/>
        <v>0</v>
      </c>
      <c r="R26" s="74">
        <f t="shared" si="13"/>
        <v>0</v>
      </c>
      <c r="S26" s="74">
        <f t="shared" si="6"/>
        <v>0</v>
      </c>
      <c r="T26" s="74">
        <f t="shared" si="7"/>
        <v>0</v>
      </c>
      <c r="U26">
        <f t="shared" si="14"/>
        <v>0</v>
      </c>
      <c r="V26">
        <f t="shared" si="15"/>
        <v>0</v>
      </c>
      <c r="W26">
        <f t="shared" si="8"/>
        <v>0</v>
      </c>
      <c r="Y26" s="16">
        <f t="shared" si="16"/>
        <v>0</v>
      </c>
    </row>
    <row r="27" spans="1:25" ht="15.95" thickBot="1">
      <c r="A27" s="31" t="s">
        <v>44</v>
      </c>
      <c r="B27" s="31"/>
      <c r="C27" s="31">
        <f>SUM(C7:C26)</f>
        <v>3672000</v>
      </c>
      <c r="D27" s="31">
        <f>SUM(D7:D26)</f>
        <v>94687.551890186543</v>
      </c>
      <c r="E27" s="31">
        <f t="shared" ref="E27:H27" si="17">SUM(E7:E26)</f>
        <v>0</v>
      </c>
      <c r="F27" s="31">
        <f t="shared" si="17"/>
        <v>0</v>
      </c>
      <c r="G27" s="31">
        <f t="shared" si="17"/>
        <v>224715.37622682651</v>
      </c>
      <c r="H27" s="31">
        <f t="shared" si="17"/>
        <v>51428.571428571435</v>
      </c>
      <c r="I27" s="31"/>
      <c r="J27" s="31">
        <f>SUM(J7:J26)</f>
        <v>899999.99999999965</v>
      </c>
      <c r="K27" s="31">
        <f t="shared" ref="K27:T27" si="18">SUM(K7:K26)</f>
        <v>90000</v>
      </c>
      <c r="L27" s="31">
        <f t="shared" si="18"/>
        <v>650.15000000000009</v>
      </c>
      <c r="M27" s="31">
        <f t="shared" si="18"/>
        <v>35720399.999999985</v>
      </c>
      <c r="N27" s="31">
        <f t="shared" si="18"/>
        <v>4050000</v>
      </c>
      <c r="O27" s="31">
        <f t="shared" si="18"/>
        <v>584999.99999999988</v>
      </c>
      <c r="P27" s="31">
        <f t="shared" si="18"/>
        <v>17261833.724258769</v>
      </c>
      <c r="Q27" s="31">
        <f t="shared" si="18"/>
        <v>18791999.999999993</v>
      </c>
      <c r="R27" s="66">
        <f t="shared" si="18"/>
        <v>3131566.275741227</v>
      </c>
      <c r="S27" s="31">
        <f t="shared" si="18"/>
        <v>925714.2857142858</v>
      </c>
      <c r="T27" s="31">
        <f t="shared" si="18"/>
        <v>5176.9355443288468</v>
      </c>
      <c r="V27">
        <f>SUM(V7:V26)</f>
        <v>925714.28571428556</v>
      </c>
      <c r="W27">
        <f t="shared" si="8"/>
        <v>8331428.571428569</v>
      </c>
      <c r="Y27" s="32"/>
    </row>
    <row r="28" spans="1:25" ht="15.95" thickBot="1">
      <c r="L28" s="67"/>
      <c r="M28" s="67"/>
      <c r="N28" s="67"/>
      <c r="O28" s="67"/>
      <c r="P28" s="67"/>
    </row>
    <row r="29" spans="1:25" ht="15.95" thickBot="1">
      <c r="F29" s="37" t="s">
        <v>45</v>
      </c>
      <c r="G29" s="37" t="s">
        <v>46</v>
      </c>
      <c r="J29" s="31" t="s">
        <v>47</v>
      </c>
      <c r="K29" s="31" t="s">
        <v>48</v>
      </c>
      <c r="L29" s="11"/>
      <c r="M29" s="31" t="s">
        <v>49</v>
      </c>
      <c r="N29" s="31" t="s">
        <v>50</v>
      </c>
      <c r="O29" s="31" t="s">
        <v>51</v>
      </c>
      <c r="P29" s="31" t="s">
        <v>52</v>
      </c>
      <c r="Q29" s="31" t="s">
        <v>53</v>
      </c>
      <c r="R29" s="31" t="s">
        <v>54</v>
      </c>
    </row>
    <row r="30" spans="1:25">
      <c r="F30" s="16" t="s">
        <v>24</v>
      </c>
      <c r="G30" s="16">
        <v>36</v>
      </c>
      <c r="J30" s="16" t="s">
        <v>55</v>
      </c>
      <c r="K30" s="16">
        <v>0.35</v>
      </c>
      <c r="M30" s="77" t="s">
        <v>56</v>
      </c>
      <c r="N30" s="16">
        <v>42.56</v>
      </c>
      <c r="O30" s="16">
        <v>43.93</v>
      </c>
      <c r="P30" s="16">
        <v>43.8</v>
      </c>
      <c r="Q30" s="16">
        <v>42</v>
      </c>
      <c r="R30" s="16">
        <v>73.77</v>
      </c>
    </row>
    <row r="31" spans="1:25">
      <c r="F31" s="16" t="s">
        <v>25</v>
      </c>
      <c r="G31" s="16">
        <v>27</v>
      </c>
      <c r="J31" s="16" t="s">
        <v>57</v>
      </c>
      <c r="K31" s="16">
        <v>1000</v>
      </c>
      <c r="M31" s="77" t="s">
        <v>58</v>
      </c>
      <c r="N31" s="16">
        <v>25.81</v>
      </c>
      <c r="O31" s="16">
        <v>25.12</v>
      </c>
      <c r="P31" s="16">
        <v>24.5</v>
      </c>
      <c r="Q31" s="16">
        <v>26.2</v>
      </c>
      <c r="R31" s="16">
        <v>18</v>
      </c>
    </row>
    <row r="32" spans="1:25">
      <c r="F32" s="16" t="s">
        <v>26</v>
      </c>
      <c r="G32" s="16">
        <v>33.5</v>
      </c>
      <c r="J32" s="16" t="s">
        <v>59</v>
      </c>
      <c r="K32" s="16">
        <v>0.65</v>
      </c>
      <c r="M32" s="77" t="s">
        <v>60</v>
      </c>
      <c r="N32" s="16">
        <v>1.38</v>
      </c>
      <c r="O32" s="16">
        <v>0.7</v>
      </c>
      <c r="P32" s="16">
        <v>0.35</v>
      </c>
      <c r="Q32" s="16">
        <v>1.72</v>
      </c>
      <c r="R32" s="16">
        <v>0.01</v>
      </c>
    </row>
    <row r="33" spans="6:34">
      <c r="F33" s="16" t="s">
        <v>27</v>
      </c>
      <c r="G33" s="16">
        <v>26.2</v>
      </c>
      <c r="J33" s="16" t="s">
        <v>61</v>
      </c>
      <c r="K33" s="16">
        <v>0.8</v>
      </c>
      <c r="W33" s="9"/>
    </row>
    <row r="34" spans="6:34">
      <c r="F34" s="16" t="s">
        <v>28</v>
      </c>
      <c r="G34" s="16">
        <v>36.35</v>
      </c>
      <c r="J34" s="16" t="s">
        <v>62</v>
      </c>
      <c r="K34" s="16">
        <v>15</v>
      </c>
      <c r="W34" s="9"/>
    </row>
    <row r="35" spans="6:34">
      <c r="F35" s="16" t="s">
        <v>29</v>
      </c>
      <c r="G35" s="16">
        <v>27</v>
      </c>
      <c r="J35" s="16" t="s">
        <v>63</v>
      </c>
      <c r="K35" s="16">
        <v>0.87</v>
      </c>
      <c r="W35" s="9"/>
    </row>
    <row r="36" spans="6:34">
      <c r="F36" s="16" t="s">
        <v>30</v>
      </c>
      <c r="G36" s="16">
        <v>34.299999999999997</v>
      </c>
      <c r="J36" s="16" t="s">
        <v>64</v>
      </c>
      <c r="K36" s="16">
        <v>45</v>
      </c>
      <c r="W36" s="9"/>
    </row>
    <row r="37" spans="6:34">
      <c r="F37" s="16" t="s">
        <v>31</v>
      </c>
      <c r="G37" s="16">
        <v>26.3</v>
      </c>
      <c r="J37" s="16" t="s">
        <v>65</v>
      </c>
      <c r="K37" s="16">
        <v>9000</v>
      </c>
      <c r="W37" s="9"/>
    </row>
    <row r="38" spans="6:34">
      <c r="F38" s="16" t="s">
        <v>32</v>
      </c>
      <c r="G38" s="16">
        <v>37.65</v>
      </c>
      <c r="J38" s="16" t="s">
        <v>66</v>
      </c>
      <c r="K38" s="16">
        <v>600000</v>
      </c>
    </row>
    <row r="39" spans="6:34">
      <c r="F39" s="16" t="s">
        <v>33</v>
      </c>
      <c r="G39" s="16">
        <v>28.2</v>
      </c>
      <c r="J39" s="16" t="s">
        <v>67</v>
      </c>
      <c r="K39" s="16">
        <v>0.1</v>
      </c>
    </row>
    <row r="40" spans="6:34">
      <c r="F40" s="16" t="s">
        <v>34</v>
      </c>
      <c r="G40" s="16">
        <v>35.65</v>
      </c>
      <c r="J40" s="16" t="s">
        <v>68</v>
      </c>
      <c r="K40" s="16">
        <v>12</v>
      </c>
      <c r="O40" s="13"/>
    </row>
    <row r="41" spans="6:34">
      <c r="F41" s="16" t="s">
        <v>35</v>
      </c>
      <c r="G41" s="16">
        <v>27.5</v>
      </c>
      <c r="J41" s="16" t="s">
        <v>69</v>
      </c>
      <c r="K41" s="16">
        <v>12</v>
      </c>
      <c r="O41" s="13"/>
    </row>
    <row r="42" spans="6:34">
      <c r="F42" s="16" t="s">
        <v>36</v>
      </c>
      <c r="G42" s="16">
        <v>38.35</v>
      </c>
      <c r="J42" s="16" t="s">
        <v>70</v>
      </c>
      <c r="K42" s="16">
        <v>0</v>
      </c>
      <c r="O42" s="13"/>
      <c r="AC42" s="28"/>
    </row>
    <row r="43" spans="6:34">
      <c r="F43" s="16" t="s">
        <v>37</v>
      </c>
      <c r="G43" s="16">
        <v>28.5</v>
      </c>
      <c r="J43" s="16" t="s">
        <v>71</v>
      </c>
      <c r="K43" s="16">
        <v>0</v>
      </c>
      <c r="O43" s="13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spans="6:34">
      <c r="F44" s="16" t="s">
        <v>38</v>
      </c>
      <c r="G44" s="16">
        <v>35.799999999999997</v>
      </c>
      <c r="J44" s="16" t="s">
        <v>72</v>
      </c>
      <c r="K44" s="16">
        <v>0</v>
      </c>
      <c r="O44" s="13"/>
    </row>
    <row r="45" spans="6:34">
      <c r="F45" s="16" t="s">
        <v>39</v>
      </c>
      <c r="G45" s="16">
        <v>27.65</v>
      </c>
    </row>
    <row r="46" spans="6:34">
      <c r="F46" s="16" t="s">
        <v>40</v>
      </c>
      <c r="G46" s="16">
        <v>43.7</v>
      </c>
    </row>
    <row r="47" spans="6:34">
      <c r="F47" s="16" t="s">
        <v>41</v>
      </c>
      <c r="G47" s="16">
        <v>31.7</v>
      </c>
    </row>
    <row r="48" spans="6:34">
      <c r="F48" s="16" t="s">
        <v>42</v>
      </c>
      <c r="G48" s="16">
        <v>38.700000000000003</v>
      </c>
    </row>
    <row r="49" spans="6:7">
      <c r="F49" s="16" t="s">
        <v>43</v>
      </c>
      <c r="G49" s="16">
        <v>30.1</v>
      </c>
    </row>
  </sheetData>
  <mergeCells count="1">
    <mergeCell ref="L28:P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FB5B-8F11-0841-B36A-F517F52DBE6C}">
  <dimension ref="A5:AH49"/>
  <sheetViews>
    <sheetView topLeftCell="E6" zoomScale="106" workbookViewId="0">
      <selection activeCell="R27" sqref="R27"/>
    </sheetView>
  </sheetViews>
  <sheetFormatPr defaultColWidth="8.85546875" defaultRowHeight="15"/>
  <cols>
    <col min="1" max="1" width="24.85546875" customWidth="1"/>
    <col min="2" max="2" width="10" customWidth="1"/>
    <col min="3" max="3" width="10.85546875" customWidth="1"/>
    <col min="4" max="4" width="12.140625" customWidth="1"/>
    <col min="5" max="5" width="14" customWidth="1"/>
    <col min="6" max="6" width="22.7109375" customWidth="1"/>
    <col min="7" max="7" width="20.42578125" customWidth="1"/>
    <col min="8" max="8" width="14.140625" customWidth="1"/>
    <col min="9" max="9" width="15.7109375" hidden="1" customWidth="1"/>
    <col min="10" max="10" width="14" customWidth="1"/>
    <col min="11" max="11" width="12.28515625" customWidth="1"/>
    <col min="12" max="12" width="8.42578125" customWidth="1"/>
    <col min="13" max="13" width="10.28515625" customWidth="1"/>
    <col min="14" max="14" width="11.42578125" customWidth="1"/>
    <col min="15" max="15" width="14" customWidth="1"/>
    <col min="16" max="16" width="12.7109375" customWidth="1"/>
    <col min="17" max="17" width="12.140625" customWidth="1"/>
    <col min="18" max="18" width="12.7109375" customWidth="1"/>
    <col min="19" max="19" width="15" hidden="1" customWidth="1"/>
    <col min="20" max="20" width="12.28515625" customWidth="1"/>
    <col min="21" max="21" width="13.7109375" hidden="1" customWidth="1"/>
    <col min="22" max="22" width="18.28515625" hidden="1" customWidth="1"/>
    <col min="23" max="24" width="2.42578125" hidden="1" customWidth="1"/>
    <col min="25" max="25" width="10.85546875" customWidth="1"/>
    <col min="29" max="29" width="15.85546875" customWidth="1"/>
  </cols>
  <sheetData>
    <row r="5" spans="1:25" ht="15.95" thickBot="1"/>
    <row r="6" spans="1:25" ht="48.95" thickBot="1">
      <c r="A6" s="38" t="s">
        <v>0</v>
      </c>
      <c r="B6" s="39" t="s">
        <v>1</v>
      </c>
      <c r="C6" s="39" t="s">
        <v>2</v>
      </c>
      <c r="D6" s="39" t="s">
        <v>3</v>
      </c>
      <c r="E6" s="39" t="s">
        <v>4</v>
      </c>
      <c r="F6" s="39" t="s">
        <v>5</v>
      </c>
      <c r="G6" s="39" t="s">
        <v>6</v>
      </c>
      <c r="H6" s="40" t="s">
        <v>7</v>
      </c>
      <c r="I6" s="70" t="s">
        <v>8</v>
      </c>
      <c r="J6" s="38" t="s">
        <v>9</v>
      </c>
      <c r="K6" s="44" t="s">
        <v>10</v>
      </c>
      <c r="L6" s="44" t="s">
        <v>11</v>
      </c>
      <c r="M6" s="39" t="s">
        <v>12</v>
      </c>
      <c r="N6" s="39" t="s">
        <v>13</v>
      </c>
      <c r="O6" s="39" t="s">
        <v>14</v>
      </c>
      <c r="P6" s="39" t="s">
        <v>15</v>
      </c>
      <c r="Q6" s="39" t="s">
        <v>16</v>
      </c>
      <c r="R6" s="39" t="s">
        <v>17</v>
      </c>
      <c r="S6" s="39" t="s">
        <v>18</v>
      </c>
      <c r="T6" s="40" t="s">
        <v>19</v>
      </c>
      <c r="U6" s="71" t="s">
        <v>20</v>
      </c>
      <c r="V6" s="72" t="s">
        <v>21</v>
      </c>
      <c r="W6" s="41" t="s">
        <v>22</v>
      </c>
      <c r="X6" s="42"/>
      <c r="Y6" s="43" t="s">
        <v>23</v>
      </c>
    </row>
    <row r="7" spans="1:25">
      <c r="A7" s="24" t="s">
        <v>24</v>
      </c>
      <c r="B7" s="17">
        <v>264</v>
      </c>
      <c r="C7" s="17">
        <f>B7*1000</f>
        <v>264000</v>
      </c>
      <c r="D7" s="33">
        <v>94687.551890186543</v>
      </c>
      <c r="E7" s="33">
        <v>0</v>
      </c>
      <c r="F7" s="33">
        <v>0</v>
      </c>
      <c r="G7" s="33">
        <v>0</v>
      </c>
      <c r="H7" s="34">
        <v>15085.714285714288</v>
      </c>
      <c r="I7">
        <f t="shared" ref="I7:I26" si="0">SUMPRODUCT(D7:H7, N$31:R$31)</f>
        <v>2715428.5714285718</v>
      </c>
      <c r="J7" s="17">
        <f t="shared" ref="J7:J26" si="1">(SUMPRODUCT(D7:H7, N$31:R$31)*0.35)/3.6</f>
        <v>264000</v>
      </c>
      <c r="K7" s="17">
        <f t="shared" ref="K7:K26" si="2">($R$31*H7*0.35)/3.6</f>
        <v>26400</v>
      </c>
      <c r="L7" s="30">
        <f>VLOOKUP(A7,F29:G49,2,FALSE)</f>
        <v>36</v>
      </c>
      <c r="M7" s="17">
        <f>L7*J7</f>
        <v>9504000</v>
      </c>
      <c r="N7" s="17">
        <f t="shared" ref="N7:N26" si="3">45*($R$31*H7*0.35)/3.6</f>
        <v>1188000</v>
      </c>
      <c r="O7" s="17">
        <f t="shared" ref="O7:O26" si="4">SUMPRODUCT(D7:H7, N$31:R$31)*0.35*0.65/3.6</f>
        <v>171600.00000000003</v>
      </c>
      <c r="P7" s="17">
        <f t="shared" ref="P7:P26" si="5">SUMPRODUCT(D7:H7, N$30:R$30)</f>
        <v>5142775.3513034824</v>
      </c>
      <c r="Q7" s="17">
        <f>J7*0.8*0.87*15</f>
        <v>2756160</v>
      </c>
      <c r="R7" s="17">
        <f>IFERROR(M7+N7-O7-P7-Q7,0)</f>
        <v>2621464.6486965176</v>
      </c>
      <c r="S7" s="17">
        <f t="shared" ref="S7:S26" si="6">H7*$R$31</f>
        <v>271542.85714285716</v>
      </c>
      <c r="T7" s="17">
        <f t="shared" ref="T7:T26" si="7">SUMPRODUCT(D7:H7, N$32:R$32)*0.01</f>
        <v>1308.1967875131456</v>
      </c>
      <c r="U7">
        <f>IFERROR(S7/I7,0)</f>
        <v>9.9999999999999992E-2</v>
      </c>
      <c r="V7">
        <f>0.1*I7</f>
        <v>271542.85714285722</v>
      </c>
      <c r="W7">
        <f t="shared" ref="W7:W27" si="8">SUMPRODUCT($N$31:$Q$31,D7:G7)</f>
        <v>2443885.7142857146</v>
      </c>
      <c r="Y7" s="16">
        <f>K7-0.1*J7</f>
        <v>0</v>
      </c>
    </row>
    <row r="8" spans="1:25">
      <c r="A8" s="26" t="s">
        <v>25</v>
      </c>
      <c r="B8" s="16">
        <v>264</v>
      </c>
      <c r="C8" s="17">
        <f t="shared" ref="C8:C26" si="9">B8*1000</f>
        <v>264000</v>
      </c>
      <c r="D8" s="35">
        <v>0</v>
      </c>
      <c r="E8" s="35">
        <v>0</v>
      </c>
      <c r="F8" s="35">
        <v>0</v>
      </c>
      <c r="G8" s="35">
        <v>0</v>
      </c>
      <c r="H8" s="36">
        <v>0</v>
      </c>
      <c r="I8">
        <f t="shared" si="0"/>
        <v>0</v>
      </c>
      <c r="J8" s="17">
        <f t="shared" si="1"/>
        <v>0</v>
      </c>
      <c r="K8" s="16">
        <f t="shared" si="2"/>
        <v>0</v>
      </c>
      <c r="L8" s="30">
        <f t="shared" ref="L8:L26" si="10">VLOOKUP(A8,F30:G51,2,FALSE)</f>
        <v>27</v>
      </c>
      <c r="M8" s="17">
        <f t="shared" ref="M8:M26" si="11">L8*J8</f>
        <v>0</v>
      </c>
      <c r="N8" s="16">
        <f t="shared" si="3"/>
        <v>0</v>
      </c>
      <c r="O8" s="16">
        <f t="shared" si="4"/>
        <v>0</v>
      </c>
      <c r="P8" s="16">
        <f t="shared" si="5"/>
        <v>0</v>
      </c>
      <c r="Q8" s="17">
        <f t="shared" ref="Q8:Q25" si="12">J8*0.8*0.87*15</f>
        <v>0</v>
      </c>
      <c r="R8" s="16">
        <f t="shared" ref="R8:R26" si="13">IFERROR(M8+N8-O8-P8-Q8,0)</f>
        <v>0</v>
      </c>
      <c r="S8" s="16">
        <f t="shared" si="6"/>
        <v>0</v>
      </c>
      <c r="T8" s="16">
        <f t="shared" si="7"/>
        <v>0</v>
      </c>
      <c r="U8">
        <f t="shared" ref="U8:U26" si="14">IFERROR(S8/I8,0)</f>
        <v>0</v>
      </c>
      <c r="V8">
        <f t="shared" ref="V8:V26" si="15">0.1*I8</f>
        <v>0</v>
      </c>
      <c r="W8">
        <f t="shared" si="8"/>
        <v>0</v>
      </c>
      <c r="Y8" s="16">
        <f t="shared" ref="Y8:Y26" si="16">K8-0.1*J8</f>
        <v>0</v>
      </c>
    </row>
    <row r="9" spans="1:25">
      <c r="A9" s="26" t="s">
        <v>26</v>
      </c>
      <c r="B9" s="16">
        <v>96</v>
      </c>
      <c r="C9" s="17">
        <f t="shared" si="9"/>
        <v>96000</v>
      </c>
      <c r="D9" s="35">
        <v>34431.83705097693</v>
      </c>
      <c r="E9" s="35">
        <v>0</v>
      </c>
      <c r="F9" s="35">
        <v>0</v>
      </c>
      <c r="G9" s="35">
        <v>0</v>
      </c>
      <c r="H9" s="36">
        <v>5485.7142857142871</v>
      </c>
      <c r="I9">
        <f t="shared" si="0"/>
        <v>987428.57142857171</v>
      </c>
      <c r="J9" s="17">
        <f t="shared" si="1"/>
        <v>96000.000000000015</v>
      </c>
      <c r="K9" s="16">
        <f t="shared" si="2"/>
        <v>9600.0000000000018</v>
      </c>
      <c r="L9" s="30">
        <f t="shared" si="10"/>
        <v>33.5</v>
      </c>
      <c r="M9" s="17">
        <f t="shared" si="11"/>
        <v>3216000.0000000005</v>
      </c>
      <c r="N9" s="16">
        <f t="shared" si="3"/>
        <v>432000.00000000006</v>
      </c>
      <c r="O9" s="16">
        <f t="shared" si="4"/>
        <v>62400.000000000015</v>
      </c>
      <c r="P9" s="16">
        <f t="shared" si="5"/>
        <v>1870100.1277467213</v>
      </c>
      <c r="Q9" s="17">
        <f t="shared" si="12"/>
        <v>1002240.0000000002</v>
      </c>
      <c r="R9" s="16">
        <f t="shared" si="13"/>
        <v>713259.87225327897</v>
      </c>
      <c r="S9" s="16">
        <f t="shared" si="6"/>
        <v>98742.857142857174</v>
      </c>
      <c r="T9" s="16">
        <f t="shared" si="7"/>
        <v>475.70792273205308</v>
      </c>
      <c r="U9">
        <f t="shared" si="14"/>
        <v>0.1</v>
      </c>
      <c r="V9">
        <f t="shared" si="15"/>
        <v>98742.857142857174</v>
      </c>
      <c r="W9">
        <f t="shared" si="8"/>
        <v>888685.71428571455</v>
      </c>
      <c r="Y9" s="16">
        <f t="shared" si="16"/>
        <v>0</v>
      </c>
    </row>
    <row r="10" spans="1:25">
      <c r="A10" s="26" t="s">
        <v>27</v>
      </c>
      <c r="B10" s="16">
        <v>96</v>
      </c>
      <c r="C10" s="17">
        <f t="shared" si="9"/>
        <v>96000</v>
      </c>
      <c r="D10" s="35">
        <v>0</v>
      </c>
      <c r="E10" s="35">
        <v>0</v>
      </c>
      <c r="F10" s="35">
        <v>0</v>
      </c>
      <c r="G10" s="35">
        <v>0</v>
      </c>
      <c r="H10" s="36">
        <v>0</v>
      </c>
      <c r="I10">
        <f t="shared" si="0"/>
        <v>0</v>
      </c>
      <c r="J10" s="17">
        <f t="shared" si="1"/>
        <v>0</v>
      </c>
      <c r="K10" s="16">
        <f t="shared" si="2"/>
        <v>0</v>
      </c>
      <c r="L10" s="30">
        <f t="shared" si="10"/>
        <v>26.2</v>
      </c>
      <c r="M10" s="17">
        <f t="shared" si="11"/>
        <v>0</v>
      </c>
      <c r="N10" s="16">
        <f t="shared" si="3"/>
        <v>0</v>
      </c>
      <c r="O10" s="16">
        <f t="shared" si="4"/>
        <v>0</v>
      </c>
      <c r="P10" s="16">
        <f t="shared" si="5"/>
        <v>0</v>
      </c>
      <c r="Q10" s="17">
        <f t="shared" si="12"/>
        <v>0</v>
      </c>
      <c r="R10" s="16">
        <f t="shared" si="13"/>
        <v>0</v>
      </c>
      <c r="S10" s="16">
        <f t="shared" si="6"/>
        <v>0</v>
      </c>
      <c r="T10" s="16">
        <f t="shared" si="7"/>
        <v>0</v>
      </c>
      <c r="U10">
        <f t="shared" si="14"/>
        <v>0</v>
      </c>
      <c r="V10">
        <f t="shared" si="15"/>
        <v>0</v>
      </c>
      <c r="W10">
        <f t="shared" si="8"/>
        <v>0</v>
      </c>
      <c r="Y10" s="16">
        <f t="shared" si="16"/>
        <v>0</v>
      </c>
    </row>
    <row r="11" spans="1:25">
      <c r="A11" s="26" t="s">
        <v>28</v>
      </c>
      <c r="B11" s="16">
        <v>264</v>
      </c>
      <c r="C11" s="17">
        <f t="shared" si="9"/>
        <v>264000</v>
      </c>
      <c r="D11" s="35">
        <v>94687.551890186543</v>
      </c>
      <c r="E11" s="35">
        <v>0</v>
      </c>
      <c r="F11" s="35">
        <v>0</v>
      </c>
      <c r="G11" s="35">
        <v>0</v>
      </c>
      <c r="H11" s="36">
        <v>15085.714285714288</v>
      </c>
      <c r="I11">
        <f t="shared" si="0"/>
        <v>2715428.5714285718</v>
      </c>
      <c r="J11" s="17">
        <f t="shared" si="1"/>
        <v>264000</v>
      </c>
      <c r="K11" s="16">
        <f t="shared" si="2"/>
        <v>26400</v>
      </c>
      <c r="L11" s="30">
        <f t="shared" si="10"/>
        <v>36.35</v>
      </c>
      <c r="M11" s="17">
        <f t="shared" si="11"/>
        <v>9596400</v>
      </c>
      <c r="N11" s="16">
        <f t="shared" si="3"/>
        <v>1188000</v>
      </c>
      <c r="O11" s="16">
        <f t="shared" si="4"/>
        <v>171600.00000000003</v>
      </c>
      <c r="P11" s="16">
        <f t="shared" si="5"/>
        <v>5142775.3513034824</v>
      </c>
      <c r="Q11" s="17">
        <f t="shared" si="12"/>
        <v>2756160</v>
      </c>
      <c r="R11" s="16">
        <f t="shared" si="13"/>
        <v>2713864.6486965176</v>
      </c>
      <c r="S11" s="16">
        <f t="shared" si="6"/>
        <v>271542.85714285716</v>
      </c>
      <c r="T11" s="16">
        <f t="shared" si="7"/>
        <v>1308.1967875131456</v>
      </c>
      <c r="U11">
        <f t="shared" si="14"/>
        <v>9.9999999999999992E-2</v>
      </c>
      <c r="V11">
        <f t="shared" si="15"/>
        <v>271542.85714285722</v>
      </c>
      <c r="W11">
        <f t="shared" si="8"/>
        <v>2443885.7142857146</v>
      </c>
      <c r="Y11" s="16">
        <f t="shared" si="16"/>
        <v>0</v>
      </c>
    </row>
    <row r="12" spans="1:25">
      <c r="A12" s="26" t="s">
        <v>29</v>
      </c>
      <c r="B12" s="16">
        <v>264</v>
      </c>
      <c r="C12" s="17">
        <f t="shared" si="9"/>
        <v>264000</v>
      </c>
      <c r="D12" s="35">
        <v>70610.505341229742</v>
      </c>
      <c r="E12" s="35">
        <v>0</v>
      </c>
      <c r="F12" s="35">
        <v>0</v>
      </c>
      <c r="G12" s="35">
        <v>0</v>
      </c>
      <c r="H12" s="36">
        <v>11249.73544973543</v>
      </c>
      <c r="I12">
        <f t="shared" si="0"/>
        <v>2024952.3809523771</v>
      </c>
      <c r="J12" s="17">
        <f t="shared" si="1"/>
        <v>196870.37037036999</v>
      </c>
      <c r="K12" s="16">
        <f t="shared" si="2"/>
        <v>19687.037037037</v>
      </c>
      <c r="L12" s="30">
        <f t="shared" si="10"/>
        <v>27</v>
      </c>
      <c r="M12" s="17">
        <f t="shared" si="11"/>
        <v>5315499.9999999898</v>
      </c>
      <c r="N12" s="16">
        <f t="shared" si="3"/>
        <v>885916.666666665</v>
      </c>
      <c r="O12" s="16">
        <f t="shared" si="4"/>
        <v>127965.7407407405</v>
      </c>
      <c r="P12" s="16">
        <f t="shared" si="5"/>
        <v>3835076.0914497208</v>
      </c>
      <c r="Q12" s="17">
        <f t="shared" si="12"/>
        <v>2055326.6666666628</v>
      </c>
      <c r="R12" s="16">
        <f t="shared" si="13"/>
        <v>183048.16780953063</v>
      </c>
      <c r="S12" s="16">
        <f t="shared" si="6"/>
        <v>202495.23809523773</v>
      </c>
      <c r="T12" s="16">
        <f t="shared" si="7"/>
        <v>975.54994725394386</v>
      </c>
      <c r="U12">
        <f t="shared" si="14"/>
        <v>0.1</v>
      </c>
      <c r="V12">
        <f t="shared" si="15"/>
        <v>202495.23809523773</v>
      </c>
      <c r="W12">
        <f t="shared" si="8"/>
        <v>1822457.1428571395</v>
      </c>
      <c r="Y12" s="16">
        <f t="shared" si="16"/>
        <v>0</v>
      </c>
    </row>
    <row r="13" spans="1:25">
      <c r="A13" s="26" t="s">
        <v>30</v>
      </c>
      <c r="B13" s="16">
        <v>108</v>
      </c>
      <c r="C13" s="17">
        <f t="shared" si="9"/>
        <v>108000</v>
      </c>
      <c r="D13" s="35">
        <v>38735.816682349046</v>
      </c>
      <c r="E13" s="35">
        <v>0</v>
      </c>
      <c r="F13" s="35">
        <v>0</v>
      </c>
      <c r="G13" s="35">
        <v>0</v>
      </c>
      <c r="H13" s="36">
        <v>6171.4285714285734</v>
      </c>
      <c r="I13">
        <f t="shared" si="0"/>
        <v>1110857.1428571432</v>
      </c>
      <c r="J13" s="17">
        <f t="shared" si="1"/>
        <v>108000.00000000003</v>
      </c>
      <c r="K13" s="16">
        <f t="shared" si="2"/>
        <v>10800.000000000002</v>
      </c>
      <c r="L13" s="30">
        <f t="shared" si="10"/>
        <v>34.299999999999997</v>
      </c>
      <c r="M13" s="17">
        <f t="shared" si="11"/>
        <v>3704400.0000000005</v>
      </c>
      <c r="N13" s="16">
        <f t="shared" si="3"/>
        <v>486000.00000000006</v>
      </c>
      <c r="O13" s="16">
        <f t="shared" si="4"/>
        <v>70200.000000000029</v>
      </c>
      <c r="P13" s="16">
        <f t="shared" si="5"/>
        <v>2103862.6437150612</v>
      </c>
      <c r="Q13" s="17">
        <f t="shared" si="12"/>
        <v>1127520.0000000005</v>
      </c>
      <c r="R13" s="16">
        <f t="shared" si="13"/>
        <v>888817.35628493875</v>
      </c>
      <c r="S13" s="16">
        <f t="shared" si="6"/>
        <v>111085.71428571432</v>
      </c>
      <c r="T13" s="16">
        <f t="shared" si="7"/>
        <v>535.17141307355962</v>
      </c>
      <c r="U13">
        <f t="shared" si="14"/>
        <v>0.1</v>
      </c>
      <c r="V13">
        <f t="shared" si="15"/>
        <v>111085.71428571432</v>
      </c>
      <c r="W13">
        <f t="shared" si="8"/>
        <v>999771.42857142887</v>
      </c>
      <c r="Y13" s="16">
        <f t="shared" si="16"/>
        <v>0</v>
      </c>
    </row>
    <row r="14" spans="1:25">
      <c r="A14" s="26" t="s">
        <v>31</v>
      </c>
      <c r="B14" s="16">
        <v>108</v>
      </c>
      <c r="C14" s="17">
        <f t="shared" si="9"/>
        <v>108000</v>
      </c>
      <c r="D14" s="35">
        <v>0</v>
      </c>
      <c r="E14" s="35">
        <v>0</v>
      </c>
      <c r="F14" s="35">
        <v>0</v>
      </c>
      <c r="G14" s="35">
        <v>0</v>
      </c>
      <c r="H14" s="36">
        <v>0</v>
      </c>
      <c r="I14">
        <f t="shared" si="0"/>
        <v>0</v>
      </c>
      <c r="J14" s="17">
        <f t="shared" si="1"/>
        <v>0</v>
      </c>
      <c r="K14" s="16">
        <f t="shared" si="2"/>
        <v>0</v>
      </c>
      <c r="L14" s="30">
        <f t="shared" si="10"/>
        <v>26.3</v>
      </c>
      <c r="M14" s="17">
        <f t="shared" si="11"/>
        <v>0</v>
      </c>
      <c r="N14" s="16">
        <f t="shared" si="3"/>
        <v>0</v>
      </c>
      <c r="O14" s="16">
        <f t="shared" si="4"/>
        <v>0</v>
      </c>
      <c r="P14" s="16">
        <f t="shared" si="5"/>
        <v>0</v>
      </c>
      <c r="Q14" s="17">
        <f t="shared" si="12"/>
        <v>0</v>
      </c>
      <c r="R14" s="16">
        <f t="shared" si="13"/>
        <v>0</v>
      </c>
      <c r="S14" s="16">
        <f t="shared" si="6"/>
        <v>0</v>
      </c>
      <c r="T14" s="16">
        <f t="shared" si="7"/>
        <v>0</v>
      </c>
      <c r="U14">
        <f t="shared" si="14"/>
        <v>0</v>
      </c>
      <c r="V14">
        <f t="shared" si="15"/>
        <v>0</v>
      </c>
      <c r="W14">
        <f t="shared" si="8"/>
        <v>0</v>
      </c>
      <c r="Y14" s="16">
        <f t="shared" si="16"/>
        <v>0</v>
      </c>
    </row>
    <row r="15" spans="1:25">
      <c r="A15" s="26" t="s">
        <v>32</v>
      </c>
      <c r="B15" s="16">
        <v>264</v>
      </c>
      <c r="C15" s="17">
        <f t="shared" si="9"/>
        <v>264000</v>
      </c>
      <c r="D15" s="35">
        <v>94687.551890186543</v>
      </c>
      <c r="E15" s="35">
        <v>0</v>
      </c>
      <c r="F15" s="35">
        <v>0</v>
      </c>
      <c r="G15" s="35">
        <v>0</v>
      </c>
      <c r="H15" s="36">
        <v>15085.714285714288</v>
      </c>
      <c r="I15">
        <f t="shared" si="0"/>
        <v>2715428.5714285718</v>
      </c>
      <c r="J15" s="17">
        <f t="shared" si="1"/>
        <v>264000</v>
      </c>
      <c r="K15" s="16">
        <f t="shared" si="2"/>
        <v>26400</v>
      </c>
      <c r="L15" s="30">
        <f t="shared" si="10"/>
        <v>37.65</v>
      </c>
      <c r="M15" s="17">
        <f t="shared" si="11"/>
        <v>9939600</v>
      </c>
      <c r="N15" s="16">
        <f t="shared" si="3"/>
        <v>1188000</v>
      </c>
      <c r="O15" s="16">
        <f t="shared" si="4"/>
        <v>171600.00000000003</v>
      </c>
      <c r="P15" s="16">
        <f t="shared" si="5"/>
        <v>5142775.3513034824</v>
      </c>
      <c r="Q15" s="17">
        <f t="shared" si="12"/>
        <v>2756160</v>
      </c>
      <c r="R15" s="16">
        <f t="shared" si="13"/>
        <v>3057064.6486965176</v>
      </c>
      <c r="S15" s="16">
        <f t="shared" si="6"/>
        <v>271542.85714285716</v>
      </c>
      <c r="T15" s="16">
        <f t="shared" si="7"/>
        <v>1308.1967875131456</v>
      </c>
      <c r="U15">
        <f t="shared" si="14"/>
        <v>9.9999999999999992E-2</v>
      </c>
      <c r="V15">
        <f t="shared" si="15"/>
        <v>271542.85714285722</v>
      </c>
      <c r="W15">
        <f t="shared" si="8"/>
        <v>2443885.7142857146</v>
      </c>
      <c r="Y15" s="16">
        <f t="shared" si="16"/>
        <v>0</v>
      </c>
    </row>
    <row r="16" spans="1:25">
      <c r="A16" s="26" t="s">
        <v>33</v>
      </c>
      <c r="B16" s="16">
        <v>264</v>
      </c>
      <c r="C16" s="17">
        <f t="shared" si="9"/>
        <v>264000</v>
      </c>
      <c r="D16" s="35">
        <v>94687.551890186543</v>
      </c>
      <c r="E16" s="35">
        <v>0</v>
      </c>
      <c r="F16" s="35">
        <v>0</v>
      </c>
      <c r="G16" s="35">
        <v>0</v>
      </c>
      <c r="H16" s="36">
        <v>15085.714285714288</v>
      </c>
      <c r="I16">
        <f t="shared" si="0"/>
        <v>2715428.5714285718</v>
      </c>
      <c r="J16" s="17">
        <f t="shared" si="1"/>
        <v>264000</v>
      </c>
      <c r="K16" s="16">
        <f t="shared" si="2"/>
        <v>26400</v>
      </c>
      <c r="L16" s="30">
        <f t="shared" si="10"/>
        <v>28.2</v>
      </c>
      <c r="M16" s="17">
        <f t="shared" si="11"/>
        <v>7444800</v>
      </c>
      <c r="N16" s="16">
        <f t="shared" si="3"/>
        <v>1188000</v>
      </c>
      <c r="O16" s="16">
        <f t="shared" si="4"/>
        <v>171600.00000000003</v>
      </c>
      <c r="P16" s="16">
        <f t="shared" si="5"/>
        <v>5142775.3513034824</v>
      </c>
      <c r="Q16" s="17">
        <f t="shared" si="12"/>
        <v>2756160</v>
      </c>
      <c r="R16" s="16">
        <f t="shared" si="13"/>
        <v>562264.64869651757</v>
      </c>
      <c r="S16" s="16">
        <f t="shared" si="6"/>
        <v>271542.85714285716</v>
      </c>
      <c r="T16" s="16">
        <f t="shared" si="7"/>
        <v>1308.1967875131456</v>
      </c>
      <c r="U16">
        <f t="shared" si="14"/>
        <v>9.9999999999999992E-2</v>
      </c>
      <c r="V16">
        <f t="shared" si="15"/>
        <v>271542.85714285722</v>
      </c>
      <c r="W16">
        <f t="shared" si="8"/>
        <v>2443885.7142857146</v>
      </c>
      <c r="Y16" s="16">
        <f t="shared" si="16"/>
        <v>0</v>
      </c>
    </row>
    <row r="17" spans="1:25">
      <c r="A17" s="26" t="s">
        <v>34</v>
      </c>
      <c r="B17" s="16">
        <v>108</v>
      </c>
      <c r="C17" s="17">
        <f t="shared" si="9"/>
        <v>108000</v>
      </c>
      <c r="D17" s="35">
        <v>38735.816682349046</v>
      </c>
      <c r="E17" s="35">
        <v>0</v>
      </c>
      <c r="F17" s="35">
        <v>0</v>
      </c>
      <c r="G17" s="35">
        <v>0</v>
      </c>
      <c r="H17" s="36">
        <v>6171.4285714285734</v>
      </c>
      <c r="I17">
        <f t="shared" si="0"/>
        <v>1110857.1428571432</v>
      </c>
      <c r="J17" s="17">
        <f t="shared" si="1"/>
        <v>108000.00000000003</v>
      </c>
      <c r="K17" s="16">
        <f t="shared" si="2"/>
        <v>10800.000000000002</v>
      </c>
      <c r="L17" s="30">
        <f t="shared" si="10"/>
        <v>35.65</v>
      </c>
      <c r="M17" s="17">
        <f t="shared" si="11"/>
        <v>3850200.0000000009</v>
      </c>
      <c r="N17" s="16">
        <f t="shared" si="3"/>
        <v>486000.00000000006</v>
      </c>
      <c r="O17" s="16">
        <f t="shared" si="4"/>
        <v>70200.000000000029</v>
      </c>
      <c r="P17" s="16">
        <f t="shared" si="5"/>
        <v>2103862.6437150612</v>
      </c>
      <c r="Q17" s="17">
        <f t="shared" si="12"/>
        <v>1127520.0000000005</v>
      </c>
      <c r="R17" s="16">
        <f t="shared" si="13"/>
        <v>1034617.3562849392</v>
      </c>
      <c r="S17" s="16">
        <f t="shared" si="6"/>
        <v>111085.71428571432</v>
      </c>
      <c r="T17" s="16">
        <f t="shared" si="7"/>
        <v>535.17141307355962</v>
      </c>
      <c r="U17">
        <f t="shared" si="14"/>
        <v>0.1</v>
      </c>
      <c r="V17">
        <f t="shared" si="15"/>
        <v>111085.71428571432</v>
      </c>
      <c r="W17">
        <f t="shared" si="8"/>
        <v>999771.42857142887</v>
      </c>
      <c r="Y17" s="16">
        <f t="shared" si="16"/>
        <v>0</v>
      </c>
    </row>
    <row r="18" spans="1:25">
      <c r="A18" s="26" t="s">
        <v>35</v>
      </c>
      <c r="B18" s="16">
        <v>108</v>
      </c>
      <c r="C18" s="17">
        <f t="shared" si="9"/>
        <v>108000</v>
      </c>
      <c r="D18" s="35">
        <v>38735.816682349046</v>
      </c>
      <c r="E18" s="35">
        <v>0</v>
      </c>
      <c r="F18" s="35">
        <v>0</v>
      </c>
      <c r="G18" s="35">
        <v>0</v>
      </c>
      <c r="H18" s="36">
        <v>6171.4285714285734</v>
      </c>
      <c r="I18">
        <f t="shared" si="0"/>
        <v>1110857.1428571432</v>
      </c>
      <c r="J18" s="17">
        <f t="shared" si="1"/>
        <v>108000.00000000003</v>
      </c>
      <c r="K18" s="16">
        <f t="shared" si="2"/>
        <v>10800.000000000002</v>
      </c>
      <c r="L18" s="30">
        <f t="shared" si="10"/>
        <v>27.5</v>
      </c>
      <c r="M18" s="17">
        <f t="shared" si="11"/>
        <v>2970000.0000000009</v>
      </c>
      <c r="N18" s="16">
        <f t="shared" si="3"/>
        <v>486000.00000000006</v>
      </c>
      <c r="O18" s="16">
        <f t="shared" si="4"/>
        <v>70200.000000000029</v>
      </c>
      <c r="P18" s="16">
        <f t="shared" si="5"/>
        <v>2103862.6437150612</v>
      </c>
      <c r="Q18" s="17">
        <f t="shared" si="12"/>
        <v>1127520.0000000005</v>
      </c>
      <c r="R18" s="16">
        <f t="shared" si="13"/>
        <v>154417.35628493922</v>
      </c>
      <c r="S18" s="16">
        <f t="shared" si="6"/>
        <v>111085.71428571432</v>
      </c>
      <c r="T18" s="16">
        <f t="shared" si="7"/>
        <v>535.17141307355962</v>
      </c>
      <c r="U18">
        <f t="shared" si="14"/>
        <v>0.1</v>
      </c>
      <c r="V18">
        <f t="shared" si="15"/>
        <v>111085.71428571432</v>
      </c>
      <c r="W18">
        <f t="shared" si="8"/>
        <v>999771.42857142887</v>
      </c>
      <c r="Y18" s="16">
        <f t="shared" si="16"/>
        <v>0</v>
      </c>
    </row>
    <row r="19" spans="1:25">
      <c r="A19" s="26" t="s">
        <v>36</v>
      </c>
      <c r="B19" s="16">
        <v>264</v>
      </c>
      <c r="C19" s="17">
        <f t="shared" si="9"/>
        <v>264000</v>
      </c>
      <c r="D19" s="35">
        <v>0</v>
      </c>
      <c r="E19" s="35">
        <v>0</v>
      </c>
      <c r="F19" s="35">
        <v>0</v>
      </c>
      <c r="G19" s="35">
        <v>93278.080697927988</v>
      </c>
      <c r="H19" s="36">
        <v>15085.71428571429</v>
      </c>
      <c r="I19">
        <f t="shared" si="0"/>
        <v>2715428.5714285704</v>
      </c>
      <c r="J19" s="17">
        <f t="shared" si="1"/>
        <v>263999.99999999988</v>
      </c>
      <c r="K19" s="16">
        <f t="shared" si="2"/>
        <v>26400.000000000004</v>
      </c>
      <c r="L19" s="30">
        <f t="shared" si="10"/>
        <v>38.35</v>
      </c>
      <c r="M19" s="17">
        <f t="shared" si="11"/>
        <v>10124399.999999996</v>
      </c>
      <c r="N19" s="16">
        <f t="shared" si="3"/>
        <v>1188000.0000000002</v>
      </c>
      <c r="O19" s="16">
        <f t="shared" si="4"/>
        <v>171599.99999999994</v>
      </c>
      <c r="P19" s="16">
        <f t="shared" si="5"/>
        <v>5030552.5321701188</v>
      </c>
      <c r="Q19" s="17">
        <f t="shared" si="12"/>
        <v>2756159.9999999986</v>
      </c>
      <c r="R19" s="16">
        <f t="shared" si="13"/>
        <v>3354087.4678298789</v>
      </c>
      <c r="S19" s="16">
        <f t="shared" si="6"/>
        <v>271542.85714285722</v>
      </c>
      <c r="T19" s="16">
        <f t="shared" si="7"/>
        <v>1605.8915594329328</v>
      </c>
      <c r="U19">
        <f t="shared" si="14"/>
        <v>0.10000000000000006</v>
      </c>
      <c r="V19">
        <f t="shared" si="15"/>
        <v>271542.85714285704</v>
      </c>
      <c r="W19">
        <f t="shared" si="8"/>
        <v>2443885.7142857132</v>
      </c>
      <c r="Y19" s="16">
        <f t="shared" si="16"/>
        <v>0</v>
      </c>
    </row>
    <row r="20" spans="1:25">
      <c r="A20" s="26" t="s">
        <v>37</v>
      </c>
      <c r="B20" s="16">
        <v>264</v>
      </c>
      <c r="C20" s="17">
        <f t="shared" si="9"/>
        <v>264000</v>
      </c>
      <c r="D20" s="35">
        <v>0</v>
      </c>
      <c r="E20" s="35">
        <v>0</v>
      </c>
      <c r="F20" s="35">
        <v>0</v>
      </c>
      <c r="G20" s="35">
        <v>93278.080697927988</v>
      </c>
      <c r="H20" s="36">
        <v>15085.71428571429</v>
      </c>
      <c r="I20">
        <f t="shared" si="0"/>
        <v>2715428.5714285704</v>
      </c>
      <c r="J20" s="17">
        <f t="shared" si="1"/>
        <v>263999.99999999988</v>
      </c>
      <c r="K20" s="16">
        <f t="shared" si="2"/>
        <v>26400.000000000004</v>
      </c>
      <c r="L20" s="30">
        <f t="shared" si="10"/>
        <v>28.5</v>
      </c>
      <c r="M20" s="17">
        <f t="shared" si="11"/>
        <v>7523999.9999999963</v>
      </c>
      <c r="N20" s="16">
        <f t="shared" si="3"/>
        <v>1188000.0000000002</v>
      </c>
      <c r="O20" s="16">
        <f t="shared" si="4"/>
        <v>171599.99999999994</v>
      </c>
      <c r="P20" s="16">
        <f t="shared" si="5"/>
        <v>5030552.5321701188</v>
      </c>
      <c r="Q20" s="17">
        <f t="shared" si="12"/>
        <v>2756159.9999999986</v>
      </c>
      <c r="R20" s="16">
        <f t="shared" si="13"/>
        <v>753687.46782987891</v>
      </c>
      <c r="S20" s="16">
        <f t="shared" si="6"/>
        <v>271542.85714285722</v>
      </c>
      <c r="T20" s="16">
        <f t="shared" si="7"/>
        <v>1605.8915594329328</v>
      </c>
      <c r="U20">
        <f t="shared" si="14"/>
        <v>0.10000000000000006</v>
      </c>
      <c r="V20">
        <f t="shared" si="15"/>
        <v>271542.85714285704</v>
      </c>
      <c r="W20">
        <f t="shared" si="8"/>
        <v>2443885.7142857132</v>
      </c>
      <c r="Y20" s="16">
        <f t="shared" si="16"/>
        <v>0</v>
      </c>
    </row>
    <row r="21" spans="1:25">
      <c r="A21" s="26" t="s">
        <v>38</v>
      </c>
      <c r="B21" s="16">
        <v>96</v>
      </c>
      <c r="C21" s="17">
        <f t="shared" si="9"/>
        <v>96000</v>
      </c>
      <c r="D21" s="35">
        <v>0</v>
      </c>
      <c r="E21" s="35">
        <v>0</v>
      </c>
      <c r="F21" s="35">
        <v>0</v>
      </c>
      <c r="G21" s="35">
        <v>33919.302071973812</v>
      </c>
      <c r="H21" s="36">
        <v>5485.7142857142871</v>
      </c>
      <c r="I21">
        <f t="shared" si="0"/>
        <v>987428.57142857101</v>
      </c>
      <c r="J21" s="17">
        <f t="shared" si="1"/>
        <v>95999.999999999956</v>
      </c>
      <c r="K21" s="16">
        <f t="shared" si="2"/>
        <v>9600.0000000000018</v>
      </c>
      <c r="L21" s="30">
        <f t="shared" si="10"/>
        <v>35.799999999999997</v>
      </c>
      <c r="M21" s="17">
        <f t="shared" si="11"/>
        <v>3436799.9999999981</v>
      </c>
      <c r="N21" s="16">
        <f t="shared" si="3"/>
        <v>432000.00000000006</v>
      </c>
      <c r="O21" s="16">
        <f t="shared" si="4"/>
        <v>62399.999999999964</v>
      </c>
      <c r="P21" s="16">
        <f t="shared" si="5"/>
        <v>1829291.8298800432</v>
      </c>
      <c r="Q21" s="17">
        <f t="shared" si="12"/>
        <v>1002239.9999999995</v>
      </c>
      <c r="R21" s="16">
        <f t="shared" si="13"/>
        <v>974868.17011995544</v>
      </c>
      <c r="S21" s="16">
        <f t="shared" si="6"/>
        <v>98742.857142857174</v>
      </c>
      <c r="T21" s="16">
        <f t="shared" si="7"/>
        <v>583.96056706652109</v>
      </c>
      <c r="U21">
        <f t="shared" si="14"/>
        <v>0.10000000000000007</v>
      </c>
      <c r="V21">
        <f t="shared" si="15"/>
        <v>98742.857142857101</v>
      </c>
      <c r="W21">
        <f t="shared" si="8"/>
        <v>888685.71428571385</v>
      </c>
      <c r="Y21" s="16">
        <f t="shared" si="16"/>
        <v>0</v>
      </c>
    </row>
    <row r="22" spans="1:25">
      <c r="A22" s="26" t="s">
        <v>39</v>
      </c>
      <c r="B22" s="16">
        <v>96</v>
      </c>
      <c r="C22" s="17">
        <f t="shared" si="9"/>
        <v>96000</v>
      </c>
      <c r="D22" s="35">
        <v>0</v>
      </c>
      <c r="E22" s="35">
        <v>0</v>
      </c>
      <c r="F22" s="35">
        <v>0</v>
      </c>
      <c r="G22" s="35">
        <v>33919.302071973812</v>
      </c>
      <c r="H22" s="36">
        <v>5485.7142857142871</v>
      </c>
      <c r="I22">
        <f t="shared" si="0"/>
        <v>987428.57142857101</v>
      </c>
      <c r="J22" s="17">
        <f t="shared" si="1"/>
        <v>95999.999999999956</v>
      </c>
      <c r="K22" s="16">
        <f t="shared" si="2"/>
        <v>9600.0000000000018</v>
      </c>
      <c r="L22" s="30">
        <f t="shared" si="10"/>
        <v>27.65</v>
      </c>
      <c r="M22" s="17">
        <f t="shared" si="11"/>
        <v>2654399.9999999986</v>
      </c>
      <c r="N22" s="16">
        <f t="shared" si="3"/>
        <v>432000.00000000006</v>
      </c>
      <c r="O22" s="16">
        <f t="shared" si="4"/>
        <v>62399.999999999964</v>
      </c>
      <c r="P22" s="16">
        <f t="shared" si="5"/>
        <v>1829291.8298800432</v>
      </c>
      <c r="Q22" s="17">
        <f t="shared" si="12"/>
        <v>1002239.9999999995</v>
      </c>
      <c r="R22" s="16">
        <f t="shared" si="13"/>
        <v>192468.1701199559</v>
      </c>
      <c r="S22" s="16">
        <f t="shared" si="6"/>
        <v>98742.857142857174</v>
      </c>
      <c r="T22" s="16">
        <f t="shared" si="7"/>
        <v>583.96056706652109</v>
      </c>
      <c r="U22">
        <f t="shared" si="14"/>
        <v>0.10000000000000007</v>
      </c>
      <c r="V22">
        <f t="shared" si="15"/>
        <v>98742.857142857101</v>
      </c>
      <c r="W22">
        <f t="shared" si="8"/>
        <v>888685.71428571385</v>
      </c>
      <c r="Y22" s="16">
        <f t="shared" si="16"/>
        <v>0</v>
      </c>
    </row>
    <row r="23" spans="1:25">
      <c r="A23" s="26" t="s">
        <v>40</v>
      </c>
      <c r="B23" s="16">
        <v>252</v>
      </c>
      <c r="C23" s="17">
        <f t="shared" si="9"/>
        <v>252000</v>
      </c>
      <c r="D23" s="35">
        <v>0</v>
      </c>
      <c r="E23" s="35">
        <v>0</v>
      </c>
      <c r="F23" s="35">
        <v>0</v>
      </c>
      <c r="G23" s="35">
        <v>89038.167938931263</v>
      </c>
      <c r="H23" s="36">
        <v>14400.000000000004</v>
      </c>
      <c r="I23">
        <f t="shared" si="0"/>
        <v>2591999.9999999991</v>
      </c>
      <c r="J23" s="17">
        <f t="shared" si="1"/>
        <v>251999.99999999988</v>
      </c>
      <c r="K23" s="16">
        <f t="shared" si="2"/>
        <v>25200.000000000004</v>
      </c>
      <c r="L23" s="30">
        <f t="shared" si="10"/>
        <v>43.7</v>
      </c>
      <c r="M23" s="17">
        <f t="shared" si="11"/>
        <v>11012399.999999996</v>
      </c>
      <c r="N23" s="16">
        <f t="shared" si="3"/>
        <v>1134000</v>
      </c>
      <c r="O23" s="16">
        <f t="shared" si="4"/>
        <v>163799.99999999994</v>
      </c>
      <c r="P23" s="16">
        <f t="shared" si="5"/>
        <v>4801891.0534351133</v>
      </c>
      <c r="Q23" s="17">
        <f t="shared" si="12"/>
        <v>2630879.9999999986</v>
      </c>
      <c r="R23" s="16">
        <f t="shared" si="13"/>
        <v>4549828.9465648849</v>
      </c>
      <c r="S23" s="16">
        <f t="shared" si="6"/>
        <v>259200.00000000006</v>
      </c>
      <c r="T23" s="16">
        <f t="shared" si="7"/>
        <v>1532.8964885496177</v>
      </c>
      <c r="U23">
        <f t="shared" si="14"/>
        <v>0.10000000000000006</v>
      </c>
      <c r="V23">
        <f t="shared" si="15"/>
        <v>259199.99999999991</v>
      </c>
      <c r="W23">
        <f t="shared" si="8"/>
        <v>2332799.9999999991</v>
      </c>
      <c r="Y23" s="16">
        <f t="shared" si="16"/>
        <v>0</v>
      </c>
    </row>
    <row r="24" spans="1:25">
      <c r="A24" s="26" t="s">
        <v>41</v>
      </c>
      <c r="B24" s="16">
        <v>252</v>
      </c>
      <c r="C24" s="17">
        <f t="shared" si="9"/>
        <v>252000</v>
      </c>
      <c r="D24" s="35">
        <v>0</v>
      </c>
      <c r="E24" s="35">
        <v>0</v>
      </c>
      <c r="F24" s="35">
        <v>0</v>
      </c>
      <c r="G24" s="35">
        <v>89038.167938931263</v>
      </c>
      <c r="H24" s="36">
        <v>14400.000000000004</v>
      </c>
      <c r="I24">
        <f t="shared" si="0"/>
        <v>2591999.9999999991</v>
      </c>
      <c r="J24" s="17">
        <f t="shared" si="1"/>
        <v>251999.99999999988</v>
      </c>
      <c r="K24" s="16">
        <f t="shared" si="2"/>
        <v>25200.000000000004</v>
      </c>
      <c r="L24" s="30">
        <f t="shared" si="10"/>
        <v>31.7</v>
      </c>
      <c r="M24" s="17">
        <f t="shared" si="11"/>
        <v>7988399.9999999963</v>
      </c>
      <c r="N24" s="16">
        <f t="shared" si="3"/>
        <v>1134000</v>
      </c>
      <c r="O24" s="16">
        <f t="shared" si="4"/>
        <v>163799.99999999994</v>
      </c>
      <c r="P24" s="16">
        <f t="shared" si="5"/>
        <v>4801891.0534351133</v>
      </c>
      <c r="Q24" s="17">
        <f t="shared" si="12"/>
        <v>2630879.9999999986</v>
      </c>
      <c r="R24" s="16">
        <f t="shared" si="13"/>
        <v>1525828.9465648844</v>
      </c>
      <c r="S24" s="16">
        <f t="shared" si="6"/>
        <v>259200.00000000006</v>
      </c>
      <c r="T24" s="16">
        <f t="shared" si="7"/>
        <v>1532.8964885496177</v>
      </c>
      <c r="U24">
        <f t="shared" si="14"/>
        <v>0.10000000000000006</v>
      </c>
      <c r="V24">
        <f t="shared" si="15"/>
        <v>259199.99999999991</v>
      </c>
      <c r="W24">
        <f t="shared" si="8"/>
        <v>2332799.9999999991</v>
      </c>
      <c r="Y24" s="16">
        <f t="shared" si="16"/>
        <v>0</v>
      </c>
    </row>
    <row r="25" spans="1:25">
      <c r="A25" s="26" t="s">
        <v>42</v>
      </c>
      <c r="B25" s="16">
        <v>120</v>
      </c>
      <c r="C25" s="17">
        <f t="shared" si="9"/>
        <v>120000</v>
      </c>
      <c r="D25" s="35">
        <v>0</v>
      </c>
      <c r="E25" s="35">
        <v>0</v>
      </c>
      <c r="F25" s="35">
        <v>0</v>
      </c>
      <c r="G25" s="35">
        <v>42399.127589967262</v>
      </c>
      <c r="H25" s="36">
        <v>6857.1428571428587</v>
      </c>
      <c r="I25">
        <f t="shared" si="0"/>
        <v>1234285.7142857136</v>
      </c>
      <c r="J25" s="17">
        <f t="shared" si="1"/>
        <v>119999.99999999993</v>
      </c>
      <c r="K25" s="16">
        <f t="shared" si="2"/>
        <v>12000.000000000002</v>
      </c>
      <c r="L25" s="30">
        <f t="shared" si="10"/>
        <v>38.700000000000003</v>
      </c>
      <c r="M25" s="17">
        <f t="shared" si="11"/>
        <v>4643999.9999999972</v>
      </c>
      <c r="N25" s="16">
        <f t="shared" si="3"/>
        <v>540000</v>
      </c>
      <c r="O25" s="16">
        <f t="shared" si="4"/>
        <v>77999.999999999971</v>
      </c>
      <c r="P25" s="16">
        <f t="shared" si="5"/>
        <v>2286614.7873500539</v>
      </c>
      <c r="Q25" s="17">
        <f t="shared" si="12"/>
        <v>1252799.9999999991</v>
      </c>
      <c r="R25" s="16">
        <f t="shared" si="13"/>
        <v>1566585.2126499442</v>
      </c>
      <c r="S25" s="16">
        <f t="shared" si="6"/>
        <v>123428.57142857145</v>
      </c>
      <c r="T25" s="16">
        <f t="shared" si="7"/>
        <v>729.95070883315134</v>
      </c>
      <c r="U25">
        <f t="shared" si="14"/>
        <v>0.10000000000000007</v>
      </c>
      <c r="V25">
        <f t="shared" si="15"/>
        <v>123428.57142857136</v>
      </c>
      <c r="W25">
        <f t="shared" si="8"/>
        <v>1110857.1428571423</v>
      </c>
      <c r="Y25" s="16">
        <f t="shared" si="16"/>
        <v>0</v>
      </c>
    </row>
    <row r="26" spans="1:25" ht="15.95" thickBot="1">
      <c r="A26" s="73" t="s">
        <v>43</v>
      </c>
      <c r="B26" s="74">
        <v>120</v>
      </c>
      <c r="C26" s="17">
        <f t="shared" si="9"/>
        <v>120000</v>
      </c>
      <c r="D26" s="75">
        <v>0</v>
      </c>
      <c r="E26" s="75">
        <v>0</v>
      </c>
      <c r="F26" s="75">
        <v>0</v>
      </c>
      <c r="G26" s="75">
        <v>42399.127589967262</v>
      </c>
      <c r="H26" s="76">
        <v>6857.1428571428587</v>
      </c>
      <c r="I26">
        <f t="shared" si="0"/>
        <v>1234285.7142857136</v>
      </c>
      <c r="J26" s="17">
        <f t="shared" si="1"/>
        <v>119999.99999999993</v>
      </c>
      <c r="K26" s="74">
        <f t="shared" si="2"/>
        <v>12000.000000000002</v>
      </c>
      <c r="L26" s="30">
        <f t="shared" si="10"/>
        <v>30.1</v>
      </c>
      <c r="M26" s="17">
        <f t="shared" si="11"/>
        <v>3611999.9999999981</v>
      </c>
      <c r="N26" s="74">
        <f t="shared" si="3"/>
        <v>540000</v>
      </c>
      <c r="O26" s="74">
        <f t="shared" si="4"/>
        <v>77999.999999999971</v>
      </c>
      <c r="P26" s="74">
        <f t="shared" si="5"/>
        <v>2286614.7873500539</v>
      </c>
      <c r="Q26" s="17">
        <f>J26*0.8*0.87*15</f>
        <v>1252799.9999999991</v>
      </c>
      <c r="R26" s="74">
        <f t="shared" si="13"/>
        <v>534585.21264994517</v>
      </c>
      <c r="S26" s="74">
        <f t="shared" si="6"/>
        <v>123428.57142857145</v>
      </c>
      <c r="T26" s="74">
        <f t="shared" si="7"/>
        <v>729.95070883315134</v>
      </c>
      <c r="U26">
        <f t="shared" si="14"/>
        <v>0.10000000000000007</v>
      </c>
      <c r="V26">
        <f t="shared" si="15"/>
        <v>123428.57142857136</v>
      </c>
      <c r="W26">
        <f t="shared" si="8"/>
        <v>1110857.1428571423</v>
      </c>
      <c r="Y26" s="16">
        <f t="shared" si="16"/>
        <v>0</v>
      </c>
    </row>
    <row r="27" spans="1:25" ht="15.95" thickBot="1">
      <c r="A27" s="31" t="s">
        <v>44</v>
      </c>
      <c r="B27" s="31"/>
      <c r="C27" s="31">
        <f>SUM(C7:C26)</f>
        <v>3672000</v>
      </c>
      <c r="D27" s="31">
        <f>SUM(D7:D26)</f>
        <v>600000.00000000012</v>
      </c>
      <c r="E27" s="31">
        <f t="shared" ref="E27:H27" si="17">SUM(E7:E26)</f>
        <v>0</v>
      </c>
      <c r="F27" s="31">
        <f t="shared" si="17"/>
        <v>0</v>
      </c>
      <c r="G27" s="31">
        <f t="shared" si="17"/>
        <v>517269.35659760068</v>
      </c>
      <c r="H27" s="31">
        <f t="shared" si="17"/>
        <v>179249.73544973548</v>
      </c>
      <c r="I27" s="31"/>
      <c r="J27" s="31">
        <f>SUM(J7:J26)</f>
        <v>3136870.3703703699</v>
      </c>
      <c r="K27" s="31">
        <f t="shared" ref="K27:T27" si="18">SUM(K7:K26)</f>
        <v>313687.03703703702</v>
      </c>
      <c r="L27" s="31">
        <f t="shared" si="18"/>
        <v>650.15000000000009</v>
      </c>
      <c r="M27" s="31">
        <f t="shared" si="18"/>
        <v>106537299.99999999</v>
      </c>
      <c r="N27" s="31">
        <f t="shared" si="18"/>
        <v>14115916.666666666</v>
      </c>
      <c r="O27" s="31">
        <f t="shared" si="18"/>
        <v>2038965.7407407407</v>
      </c>
      <c r="P27" s="31">
        <f t="shared" si="18"/>
        <v>60484565.96122621</v>
      </c>
      <c r="Q27" s="31">
        <f t="shared" si="18"/>
        <v>32748926.666666664</v>
      </c>
      <c r="R27" s="66">
        <f>SUM(R7:R26)-T27*30</f>
        <v>24864909.560822312</v>
      </c>
      <c r="S27" s="31">
        <f t="shared" si="18"/>
        <v>3226495.2380952383</v>
      </c>
      <c r="T27" s="55">
        <f t="shared" si="18"/>
        <v>17194.957907023705</v>
      </c>
      <c r="V27">
        <f>SUM(V7:V26)</f>
        <v>3226495.2380952379</v>
      </c>
      <c r="W27">
        <f t="shared" si="8"/>
        <v>29038457.142857142</v>
      </c>
      <c r="Y27" s="32"/>
    </row>
    <row r="28" spans="1:25" ht="15.95" thickBot="1">
      <c r="L28" s="67"/>
      <c r="M28" s="67"/>
      <c r="N28" s="67"/>
      <c r="O28" s="67"/>
      <c r="P28" s="67"/>
    </row>
    <row r="29" spans="1:25" ht="15.95" thickBot="1">
      <c r="F29" s="37" t="s">
        <v>45</v>
      </c>
      <c r="G29" s="37" t="s">
        <v>46</v>
      </c>
      <c r="J29" s="31" t="s">
        <v>47</v>
      </c>
      <c r="K29" s="31" t="s">
        <v>48</v>
      </c>
      <c r="L29" s="11"/>
      <c r="M29" s="31" t="s">
        <v>49</v>
      </c>
      <c r="N29" s="31" t="s">
        <v>50</v>
      </c>
      <c r="O29" s="31" t="s">
        <v>51</v>
      </c>
      <c r="P29" s="31" t="s">
        <v>52</v>
      </c>
      <c r="Q29" s="31" t="s">
        <v>53</v>
      </c>
      <c r="R29" s="31" t="s">
        <v>54</v>
      </c>
    </row>
    <row r="30" spans="1:25">
      <c r="F30" s="16" t="s">
        <v>24</v>
      </c>
      <c r="G30" s="16">
        <v>36</v>
      </c>
      <c r="J30" s="16" t="s">
        <v>55</v>
      </c>
      <c r="K30" s="16">
        <v>0.35</v>
      </c>
      <c r="M30" s="77" t="s">
        <v>56</v>
      </c>
      <c r="N30" s="16">
        <v>42.56</v>
      </c>
      <c r="O30" s="16">
        <v>43.93</v>
      </c>
      <c r="P30" s="16">
        <v>43.8</v>
      </c>
      <c r="Q30" s="16">
        <v>42</v>
      </c>
      <c r="R30" s="16">
        <v>73.77</v>
      </c>
    </row>
    <row r="31" spans="1:25">
      <c r="F31" s="16" t="s">
        <v>25</v>
      </c>
      <c r="G31" s="16">
        <v>27</v>
      </c>
      <c r="J31" s="16" t="s">
        <v>57</v>
      </c>
      <c r="K31" s="16">
        <v>1000</v>
      </c>
      <c r="M31" s="77" t="s">
        <v>58</v>
      </c>
      <c r="N31" s="16">
        <v>25.81</v>
      </c>
      <c r="O31" s="16">
        <v>25.12</v>
      </c>
      <c r="P31" s="16">
        <v>24.5</v>
      </c>
      <c r="Q31" s="16">
        <v>26.2</v>
      </c>
      <c r="R31" s="16">
        <v>18</v>
      </c>
    </row>
    <row r="32" spans="1:25">
      <c r="F32" s="16" t="s">
        <v>26</v>
      </c>
      <c r="G32" s="16">
        <v>33.5</v>
      </c>
      <c r="J32" s="16" t="s">
        <v>59</v>
      </c>
      <c r="K32" s="16">
        <v>0.65</v>
      </c>
      <c r="M32" s="77" t="s">
        <v>60</v>
      </c>
      <c r="N32" s="16">
        <v>1.38</v>
      </c>
      <c r="O32" s="16">
        <v>0.7</v>
      </c>
      <c r="P32" s="16">
        <v>0.35</v>
      </c>
      <c r="Q32" s="16">
        <v>1.72</v>
      </c>
      <c r="R32" s="16">
        <v>0.01</v>
      </c>
    </row>
    <row r="33" spans="6:34">
      <c r="F33" s="16" t="s">
        <v>27</v>
      </c>
      <c r="G33" s="16">
        <v>26.2</v>
      </c>
      <c r="J33" s="16" t="s">
        <v>61</v>
      </c>
      <c r="K33" s="16">
        <v>0.8</v>
      </c>
      <c r="W33" s="9"/>
    </row>
    <row r="34" spans="6:34">
      <c r="F34" s="16" t="s">
        <v>28</v>
      </c>
      <c r="G34" s="16">
        <v>36.35</v>
      </c>
      <c r="J34" s="16" t="s">
        <v>62</v>
      </c>
      <c r="K34" s="16">
        <v>15</v>
      </c>
      <c r="W34" s="9"/>
    </row>
    <row r="35" spans="6:34">
      <c r="F35" s="16" t="s">
        <v>29</v>
      </c>
      <c r="G35" s="16">
        <v>27</v>
      </c>
      <c r="J35" s="16" t="s">
        <v>63</v>
      </c>
      <c r="K35" s="16">
        <v>0.87</v>
      </c>
      <c r="W35" s="9"/>
    </row>
    <row r="36" spans="6:34">
      <c r="F36" s="16" t="s">
        <v>30</v>
      </c>
      <c r="G36" s="16">
        <v>34.299999999999997</v>
      </c>
      <c r="J36" s="16" t="s">
        <v>64</v>
      </c>
      <c r="K36" s="16">
        <v>45</v>
      </c>
      <c r="W36" s="9"/>
    </row>
    <row r="37" spans="6:34">
      <c r="F37" s="16" t="s">
        <v>31</v>
      </c>
      <c r="G37" s="16">
        <v>26.3</v>
      </c>
      <c r="J37" s="16" t="s">
        <v>65</v>
      </c>
      <c r="K37" s="16">
        <v>9000</v>
      </c>
      <c r="W37" s="9"/>
    </row>
    <row r="38" spans="6:34">
      <c r="F38" s="16" t="s">
        <v>32</v>
      </c>
      <c r="G38" s="16">
        <v>37.65</v>
      </c>
      <c r="J38" s="16" t="s">
        <v>66</v>
      </c>
      <c r="K38" s="16">
        <v>600000</v>
      </c>
    </row>
    <row r="39" spans="6:34">
      <c r="F39" s="16" t="s">
        <v>33</v>
      </c>
      <c r="G39" s="16">
        <v>28.2</v>
      </c>
      <c r="J39" s="16" t="s">
        <v>67</v>
      </c>
      <c r="K39" s="16">
        <v>0.1</v>
      </c>
    </row>
    <row r="40" spans="6:34">
      <c r="F40" s="16" t="s">
        <v>34</v>
      </c>
      <c r="G40" s="16">
        <v>35.65</v>
      </c>
      <c r="J40" s="16" t="s">
        <v>68</v>
      </c>
      <c r="K40" s="16">
        <v>12</v>
      </c>
      <c r="O40" s="13"/>
    </row>
    <row r="41" spans="6:34">
      <c r="F41" s="16" t="s">
        <v>35</v>
      </c>
      <c r="G41" s="16">
        <v>27.5</v>
      </c>
      <c r="J41" s="16" t="s">
        <v>69</v>
      </c>
      <c r="K41" s="16">
        <v>12</v>
      </c>
      <c r="O41" s="13"/>
    </row>
    <row r="42" spans="6:34">
      <c r="F42" s="16" t="s">
        <v>36</v>
      </c>
      <c r="G42" s="16">
        <v>38.35</v>
      </c>
      <c r="J42" s="16" t="s">
        <v>70</v>
      </c>
      <c r="K42" s="16">
        <v>0</v>
      </c>
      <c r="O42" s="13"/>
      <c r="AC42" s="28"/>
    </row>
    <row r="43" spans="6:34">
      <c r="F43" s="16" t="s">
        <v>37</v>
      </c>
      <c r="G43" s="16">
        <v>28.5</v>
      </c>
      <c r="J43" s="16" t="s">
        <v>71</v>
      </c>
      <c r="K43" s="16">
        <v>0</v>
      </c>
      <c r="O43" s="13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spans="6:34">
      <c r="F44" s="16" t="s">
        <v>38</v>
      </c>
      <c r="G44" s="16">
        <v>35.799999999999997</v>
      </c>
      <c r="J44" s="16" t="s">
        <v>72</v>
      </c>
      <c r="K44" s="16">
        <v>0</v>
      </c>
      <c r="O44" s="13"/>
    </row>
    <row r="45" spans="6:34">
      <c r="F45" s="16" t="s">
        <v>39</v>
      </c>
      <c r="G45" s="16">
        <v>27.65</v>
      </c>
    </row>
    <row r="46" spans="6:34">
      <c r="F46" s="16" t="s">
        <v>40</v>
      </c>
      <c r="G46" s="16">
        <v>43.7</v>
      </c>
    </row>
    <row r="47" spans="6:34">
      <c r="F47" s="16" t="s">
        <v>41</v>
      </c>
      <c r="G47" s="16">
        <v>31.7</v>
      </c>
    </row>
    <row r="48" spans="6:34">
      <c r="F48" s="16" t="s">
        <v>42</v>
      </c>
      <c r="G48" s="16">
        <v>38.700000000000003</v>
      </c>
    </row>
    <row r="49" spans="6:7">
      <c r="F49" s="16" t="s">
        <v>43</v>
      </c>
      <c r="G49" s="16">
        <v>30.1</v>
      </c>
    </row>
  </sheetData>
  <mergeCells count="1">
    <mergeCell ref="L28:P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E4FA-D682-F144-AF95-B27E49599377}">
  <dimension ref="A5:AH49"/>
  <sheetViews>
    <sheetView topLeftCell="E5" workbookViewId="0">
      <selection activeCell="R27" sqref="R27"/>
    </sheetView>
  </sheetViews>
  <sheetFormatPr defaultColWidth="8.85546875" defaultRowHeight="15"/>
  <cols>
    <col min="1" max="1" width="24.85546875" customWidth="1"/>
    <col min="2" max="2" width="10" customWidth="1"/>
    <col min="3" max="3" width="10.85546875" customWidth="1"/>
    <col min="4" max="4" width="12.140625" customWidth="1"/>
    <col min="5" max="5" width="14" customWidth="1"/>
    <col min="6" max="6" width="22.7109375" customWidth="1"/>
    <col min="7" max="7" width="20.42578125" customWidth="1"/>
    <col min="8" max="8" width="14.140625" customWidth="1"/>
    <col min="9" max="9" width="15.7109375" hidden="1" customWidth="1"/>
    <col min="10" max="10" width="14" customWidth="1"/>
    <col min="11" max="11" width="12.28515625" customWidth="1"/>
    <col min="12" max="12" width="8.42578125" customWidth="1"/>
    <col min="13" max="13" width="10.28515625" customWidth="1"/>
    <col min="14" max="14" width="11.42578125" customWidth="1"/>
    <col min="15" max="15" width="14" customWidth="1"/>
    <col min="16" max="16" width="12.7109375" customWidth="1"/>
    <col min="17" max="17" width="12.140625" customWidth="1"/>
    <col min="18" max="18" width="12.7109375" customWidth="1"/>
    <col min="19" max="19" width="15" hidden="1" customWidth="1"/>
    <col min="20" max="20" width="12.28515625" customWidth="1"/>
    <col min="21" max="21" width="13.7109375" hidden="1" customWidth="1"/>
    <col min="22" max="22" width="18.28515625" hidden="1" customWidth="1"/>
    <col min="23" max="24" width="2.42578125" hidden="1" customWidth="1"/>
    <col min="25" max="25" width="10.85546875" customWidth="1"/>
    <col min="29" max="29" width="15.85546875" customWidth="1"/>
  </cols>
  <sheetData>
    <row r="5" spans="1:25" ht="15.95" thickBot="1"/>
    <row r="6" spans="1:25" ht="48.95" thickBot="1">
      <c r="A6" s="38" t="s">
        <v>0</v>
      </c>
      <c r="B6" s="39" t="s">
        <v>1</v>
      </c>
      <c r="C6" s="39" t="s">
        <v>2</v>
      </c>
      <c r="D6" s="39" t="s">
        <v>3</v>
      </c>
      <c r="E6" s="39" t="s">
        <v>4</v>
      </c>
      <c r="F6" s="39" t="s">
        <v>5</v>
      </c>
      <c r="G6" s="39" t="s">
        <v>6</v>
      </c>
      <c r="H6" s="40" t="s">
        <v>7</v>
      </c>
      <c r="I6" s="70" t="s">
        <v>8</v>
      </c>
      <c r="J6" s="38" t="s">
        <v>9</v>
      </c>
      <c r="K6" s="44" t="s">
        <v>10</v>
      </c>
      <c r="L6" s="44" t="s">
        <v>11</v>
      </c>
      <c r="M6" s="39" t="s">
        <v>12</v>
      </c>
      <c r="N6" s="39" t="s">
        <v>13</v>
      </c>
      <c r="O6" s="39" t="s">
        <v>14</v>
      </c>
      <c r="P6" s="39" t="s">
        <v>15</v>
      </c>
      <c r="Q6" s="39" t="s">
        <v>16</v>
      </c>
      <c r="R6" s="39" t="s">
        <v>17</v>
      </c>
      <c r="S6" s="39" t="s">
        <v>18</v>
      </c>
      <c r="T6" s="40" t="s">
        <v>19</v>
      </c>
      <c r="U6" s="71" t="s">
        <v>20</v>
      </c>
      <c r="V6" s="72" t="s">
        <v>21</v>
      </c>
      <c r="W6" s="41" t="s">
        <v>22</v>
      </c>
      <c r="X6" s="42"/>
      <c r="Y6" s="43" t="s">
        <v>23</v>
      </c>
    </row>
    <row r="7" spans="1:25">
      <c r="A7" s="24" t="s">
        <v>24</v>
      </c>
      <c r="B7" s="17">
        <v>264</v>
      </c>
      <c r="C7" s="17">
        <f>B7*1000</f>
        <v>264000</v>
      </c>
      <c r="D7" s="33">
        <v>94687.551890186543</v>
      </c>
      <c r="E7" s="33">
        <v>0</v>
      </c>
      <c r="F7" s="33">
        <v>0</v>
      </c>
      <c r="G7" s="33">
        <v>0</v>
      </c>
      <c r="H7" s="34">
        <v>15085.714285714288</v>
      </c>
      <c r="I7">
        <f t="shared" ref="I7:I26" si="0">SUMPRODUCT(D7:H7, N$31:R$31)</f>
        <v>2715428.5714285718</v>
      </c>
      <c r="J7" s="17">
        <f t="shared" ref="J7:J26" si="1">(SUMPRODUCT(D7:H7, N$31:R$31)*0.35)/3.6</f>
        <v>264000</v>
      </c>
      <c r="K7" s="17">
        <f t="shared" ref="K7:K26" si="2">($R$31*H7*0.35)/3.6</f>
        <v>26400</v>
      </c>
      <c r="L7" s="30">
        <f>VLOOKUP(A7,F29:G49,2,FALSE)</f>
        <v>36</v>
      </c>
      <c r="M7" s="17">
        <f>L7*J7</f>
        <v>9504000</v>
      </c>
      <c r="N7" s="17">
        <f t="shared" ref="N7:N26" si="3">45*($R$31*H7*0.35)/3.6</f>
        <v>1188000</v>
      </c>
      <c r="O7" s="17">
        <f t="shared" ref="O7:O26" si="4">SUMPRODUCT(D7:H7, N$31:R$31)*0.35*0.65/3.6</f>
        <v>171600.00000000003</v>
      </c>
      <c r="P7" s="17">
        <f t="shared" ref="P7:P26" si="5">SUMPRODUCT(D7:H7, N$30:R$30)</f>
        <v>5142775.3513034824</v>
      </c>
      <c r="Q7" s="17">
        <f>J7*0.8*0.87*15</f>
        <v>2756160</v>
      </c>
      <c r="R7" s="17">
        <f>IFERROR(M7+N7-O7-P7-Q7,0)</f>
        <v>2621464.6486965176</v>
      </c>
      <c r="S7" s="17">
        <f t="shared" ref="S7:S26" si="6">H7*$R$31</f>
        <v>271542.85714285716</v>
      </c>
      <c r="T7" s="17">
        <f t="shared" ref="T7:T26" si="7">SUMPRODUCT(D7:H7, N$32:R$32)*0.01</f>
        <v>1308.1967875131456</v>
      </c>
      <c r="U7">
        <f>IFERROR(S7/I7,0)</f>
        <v>9.9999999999999992E-2</v>
      </c>
      <c r="V7">
        <f>0.1*I7</f>
        <v>271542.85714285722</v>
      </c>
      <c r="W7">
        <f t="shared" ref="W7:W27" si="8">SUMPRODUCT($N$31:$Q$31,D7:G7)</f>
        <v>2443885.7142857146</v>
      </c>
      <c r="Y7" s="16">
        <f>K7-0.1*J7</f>
        <v>0</v>
      </c>
    </row>
    <row r="8" spans="1:25">
      <c r="A8" s="26" t="s">
        <v>25</v>
      </c>
      <c r="B8" s="16">
        <v>264</v>
      </c>
      <c r="C8" s="17">
        <f t="shared" ref="C8:C26" si="9">B8*1000</f>
        <v>264000</v>
      </c>
      <c r="D8" s="35">
        <v>0</v>
      </c>
      <c r="E8" s="35">
        <v>0</v>
      </c>
      <c r="F8" s="35">
        <v>0</v>
      </c>
      <c r="G8" s="35">
        <v>0</v>
      </c>
      <c r="H8" s="36">
        <v>0</v>
      </c>
      <c r="I8">
        <f t="shared" si="0"/>
        <v>0</v>
      </c>
      <c r="J8" s="17">
        <f t="shared" si="1"/>
        <v>0</v>
      </c>
      <c r="K8" s="16">
        <f t="shared" si="2"/>
        <v>0</v>
      </c>
      <c r="L8" s="30">
        <f t="shared" ref="L8:L26" si="10">VLOOKUP(A8,F30:G51,2,FALSE)</f>
        <v>27</v>
      </c>
      <c r="M8" s="17">
        <f t="shared" ref="M8:M26" si="11">L8*J8</f>
        <v>0</v>
      </c>
      <c r="N8" s="16">
        <f t="shared" si="3"/>
        <v>0</v>
      </c>
      <c r="O8" s="16">
        <f t="shared" si="4"/>
        <v>0</v>
      </c>
      <c r="P8" s="16">
        <f t="shared" si="5"/>
        <v>0</v>
      </c>
      <c r="Q8" s="17">
        <f t="shared" ref="Q8:Q25" si="12">J8*0.8*0.87*15</f>
        <v>0</v>
      </c>
      <c r="R8" s="16">
        <f t="shared" ref="R8:R26" si="13">IFERROR(M8+N8-O8-P8-Q8,0)</f>
        <v>0</v>
      </c>
      <c r="S8" s="16">
        <f t="shared" si="6"/>
        <v>0</v>
      </c>
      <c r="T8" s="16">
        <f t="shared" si="7"/>
        <v>0</v>
      </c>
      <c r="U8">
        <f t="shared" ref="U8:U26" si="14">IFERROR(S8/I8,0)</f>
        <v>0</v>
      </c>
      <c r="V8">
        <f t="shared" ref="V8:V26" si="15">0.1*I8</f>
        <v>0</v>
      </c>
      <c r="W8">
        <f t="shared" si="8"/>
        <v>0</v>
      </c>
      <c r="Y8" s="16">
        <f t="shared" ref="Y8:Y26" si="16">K8-0.1*J8</f>
        <v>0</v>
      </c>
    </row>
    <row r="9" spans="1:25">
      <c r="A9" s="26" t="s">
        <v>26</v>
      </c>
      <c r="B9" s="16">
        <v>96</v>
      </c>
      <c r="C9" s="17">
        <f t="shared" si="9"/>
        <v>96000</v>
      </c>
      <c r="D9" s="35">
        <v>34431.83705097693</v>
      </c>
      <c r="E9" s="35">
        <v>0</v>
      </c>
      <c r="F9" s="35">
        <v>0</v>
      </c>
      <c r="G9" s="35">
        <v>0</v>
      </c>
      <c r="H9" s="36">
        <v>5485.7142857142871</v>
      </c>
      <c r="I9">
        <f t="shared" si="0"/>
        <v>987428.57142857171</v>
      </c>
      <c r="J9" s="17">
        <f t="shared" si="1"/>
        <v>96000.000000000015</v>
      </c>
      <c r="K9" s="16">
        <f t="shared" si="2"/>
        <v>9600.0000000000018</v>
      </c>
      <c r="L9" s="30">
        <f t="shared" si="10"/>
        <v>33.5</v>
      </c>
      <c r="M9" s="17">
        <f t="shared" si="11"/>
        <v>3216000.0000000005</v>
      </c>
      <c r="N9" s="16">
        <f t="shared" si="3"/>
        <v>432000.00000000006</v>
      </c>
      <c r="O9" s="16">
        <f t="shared" si="4"/>
        <v>62400.000000000015</v>
      </c>
      <c r="P9" s="16">
        <f t="shared" si="5"/>
        <v>1870100.1277467213</v>
      </c>
      <c r="Q9" s="17">
        <f t="shared" si="12"/>
        <v>1002240.0000000002</v>
      </c>
      <c r="R9" s="16">
        <f t="shared" si="13"/>
        <v>713259.87225327897</v>
      </c>
      <c r="S9" s="16">
        <f t="shared" si="6"/>
        <v>98742.857142857174</v>
      </c>
      <c r="T9" s="16">
        <f t="shared" si="7"/>
        <v>475.70792273205308</v>
      </c>
      <c r="U9">
        <f t="shared" si="14"/>
        <v>0.1</v>
      </c>
      <c r="V9">
        <f t="shared" si="15"/>
        <v>98742.857142857174</v>
      </c>
      <c r="W9">
        <f t="shared" si="8"/>
        <v>888685.71428571455</v>
      </c>
      <c r="Y9" s="16">
        <f t="shared" si="16"/>
        <v>0</v>
      </c>
    </row>
    <row r="10" spans="1:25">
      <c r="A10" s="26" t="s">
        <v>27</v>
      </c>
      <c r="B10" s="16">
        <v>96</v>
      </c>
      <c r="C10" s="17">
        <f t="shared" si="9"/>
        <v>96000</v>
      </c>
      <c r="D10" s="35">
        <v>0</v>
      </c>
      <c r="E10" s="35">
        <v>0</v>
      </c>
      <c r="F10" s="35">
        <v>0</v>
      </c>
      <c r="G10" s="35">
        <v>0</v>
      </c>
      <c r="H10" s="36">
        <v>0</v>
      </c>
      <c r="I10">
        <f t="shared" si="0"/>
        <v>0</v>
      </c>
      <c r="J10" s="17">
        <f t="shared" si="1"/>
        <v>0</v>
      </c>
      <c r="K10" s="16">
        <f t="shared" si="2"/>
        <v>0</v>
      </c>
      <c r="L10" s="30">
        <f t="shared" si="10"/>
        <v>26.2</v>
      </c>
      <c r="M10" s="17">
        <f t="shared" si="11"/>
        <v>0</v>
      </c>
      <c r="N10" s="16">
        <f t="shared" si="3"/>
        <v>0</v>
      </c>
      <c r="O10" s="16">
        <f t="shared" si="4"/>
        <v>0</v>
      </c>
      <c r="P10" s="16">
        <f t="shared" si="5"/>
        <v>0</v>
      </c>
      <c r="Q10" s="17">
        <f t="shared" si="12"/>
        <v>0</v>
      </c>
      <c r="R10" s="16">
        <f t="shared" si="13"/>
        <v>0</v>
      </c>
      <c r="S10" s="16">
        <f t="shared" si="6"/>
        <v>0</v>
      </c>
      <c r="T10" s="16">
        <f t="shared" si="7"/>
        <v>0</v>
      </c>
      <c r="U10">
        <f t="shared" si="14"/>
        <v>0</v>
      </c>
      <c r="V10">
        <f t="shared" si="15"/>
        <v>0</v>
      </c>
      <c r="W10">
        <f t="shared" si="8"/>
        <v>0</v>
      </c>
      <c r="Y10" s="16">
        <f t="shared" si="16"/>
        <v>0</v>
      </c>
    </row>
    <row r="11" spans="1:25">
      <c r="A11" s="26" t="s">
        <v>28</v>
      </c>
      <c r="B11" s="16">
        <v>264</v>
      </c>
      <c r="C11" s="17">
        <f t="shared" si="9"/>
        <v>264000</v>
      </c>
      <c r="D11" s="35">
        <v>94687.551890186543</v>
      </c>
      <c r="E11" s="35">
        <v>0</v>
      </c>
      <c r="F11" s="35">
        <v>0</v>
      </c>
      <c r="G11" s="35">
        <v>0</v>
      </c>
      <c r="H11" s="36">
        <v>15085.714285714288</v>
      </c>
      <c r="I11">
        <f t="shared" si="0"/>
        <v>2715428.5714285718</v>
      </c>
      <c r="J11" s="17">
        <f t="shared" si="1"/>
        <v>264000</v>
      </c>
      <c r="K11" s="16">
        <f t="shared" si="2"/>
        <v>26400</v>
      </c>
      <c r="L11" s="30">
        <f t="shared" si="10"/>
        <v>36.35</v>
      </c>
      <c r="M11" s="17">
        <f t="shared" si="11"/>
        <v>9596400</v>
      </c>
      <c r="N11" s="16">
        <f t="shared" si="3"/>
        <v>1188000</v>
      </c>
      <c r="O11" s="16">
        <f t="shared" si="4"/>
        <v>171600.00000000003</v>
      </c>
      <c r="P11" s="16">
        <f t="shared" si="5"/>
        <v>5142775.3513034824</v>
      </c>
      <c r="Q11" s="17">
        <f t="shared" si="12"/>
        <v>2756160</v>
      </c>
      <c r="R11" s="16">
        <f t="shared" si="13"/>
        <v>2713864.6486965176</v>
      </c>
      <c r="S11" s="16">
        <f t="shared" si="6"/>
        <v>271542.85714285716</v>
      </c>
      <c r="T11" s="16">
        <f t="shared" si="7"/>
        <v>1308.1967875131456</v>
      </c>
      <c r="U11">
        <f t="shared" si="14"/>
        <v>9.9999999999999992E-2</v>
      </c>
      <c r="V11">
        <f t="shared" si="15"/>
        <v>271542.85714285722</v>
      </c>
      <c r="W11">
        <f t="shared" si="8"/>
        <v>2443885.7142857146</v>
      </c>
      <c r="Y11" s="16">
        <f t="shared" si="16"/>
        <v>0</v>
      </c>
    </row>
    <row r="12" spans="1:25">
      <c r="A12" s="26" t="s">
        <v>29</v>
      </c>
      <c r="B12" s="16">
        <v>264</v>
      </c>
      <c r="C12" s="17">
        <f t="shared" si="9"/>
        <v>264000</v>
      </c>
      <c r="D12" s="35">
        <v>70610.505341229742</v>
      </c>
      <c r="E12" s="35">
        <v>0</v>
      </c>
      <c r="F12" s="35">
        <v>0</v>
      </c>
      <c r="G12" s="35">
        <v>0</v>
      </c>
      <c r="H12" s="36">
        <v>11249.73544973543</v>
      </c>
      <c r="I12">
        <f t="shared" si="0"/>
        <v>2024952.3809523771</v>
      </c>
      <c r="J12" s="17">
        <f t="shared" si="1"/>
        <v>196870.37037036999</v>
      </c>
      <c r="K12" s="16">
        <f t="shared" si="2"/>
        <v>19687.037037037</v>
      </c>
      <c r="L12" s="30">
        <f t="shared" si="10"/>
        <v>27</v>
      </c>
      <c r="M12" s="17">
        <f t="shared" si="11"/>
        <v>5315499.9999999898</v>
      </c>
      <c r="N12" s="16">
        <f t="shared" si="3"/>
        <v>885916.666666665</v>
      </c>
      <c r="O12" s="16">
        <f t="shared" si="4"/>
        <v>127965.7407407405</v>
      </c>
      <c r="P12" s="16">
        <f t="shared" si="5"/>
        <v>3835076.0914497208</v>
      </c>
      <c r="Q12" s="17">
        <f t="shared" si="12"/>
        <v>2055326.6666666628</v>
      </c>
      <c r="R12" s="16">
        <f t="shared" si="13"/>
        <v>183048.16780953063</v>
      </c>
      <c r="S12" s="16">
        <f t="shared" si="6"/>
        <v>202495.23809523773</v>
      </c>
      <c r="T12" s="16">
        <f t="shared" si="7"/>
        <v>975.54994725394386</v>
      </c>
      <c r="U12">
        <f t="shared" si="14"/>
        <v>0.1</v>
      </c>
      <c r="V12">
        <f t="shared" si="15"/>
        <v>202495.23809523773</v>
      </c>
      <c r="W12">
        <f t="shared" si="8"/>
        <v>1822457.1428571395</v>
      </c>
      <c r="Y12" s="16">
        <f t="shared" si="16"/>
        <v>0</v>
      </c>
    </row>
    <row r="13" spans="1:25">
      <c r="A13" s="26" t="s">
        <v>30</v>
      </c>
      <c r="B13" s="16">
        <v>108</v>
      </c>
      <c r="C13" s="17">
        <f t="shared" si="9"/>
        <v>108000</v>
      </c>
      <c r="D13" s="35">
        <v>38735.816682349046</v>
      </c>
      <c r="E13" s="35">
        <v>0</v>
      </c>
      <c r="F13" s="35">
        <v>0</v>
      </c>
      <c r="G13" s="35">
        <v>0</v>
      </c>
      <c r="H13" s="36">
        <v>6171.4285714285734</v>
      </c>
      <c r="I13">
        <f t="shared" si="0"/>
        <v>1110857.1428571432</v>
      </c>
      <c r="J13" s="17">
        <f t="shared" si="1"/>
        <v>108000.00000000003</v>
      </c>
      <c r="K13" s="16">
        <f t="shared" si="2"/>
        <v>10800.000000000002</v>
      </c>
      <c r="L13" s="30">
        <f t="shared" si="10"/>
        <v>34.299999999999997</v>
      </c>
      <c r="M13" s="17">
        <f t="shared" si="11"/>
        <v>3704400.0000000005</v>
      </c>
      <c r="N13" s="16">
        <f t="shared" si="3"/>
        <v>486000.00000000006</v>
      </c>
      <c r="O13" s="16">
        <f t="shared" si="4"/>
        <v>70200.000000000029</v>
      </c>
      <c r="P13" s="16">
        <f t="shared" si="5"/>
        <v>2103862.6437150612</v>
      </c>
      <c r="Q13" s="17">
        <f t="shared" si="12"/>
        <v>1127520.0000000005</v>
      </c>
      <c r="R13" s="16">
        <f t="shared" si="13"/>
        <v>888817.35628493875</v>
      </c>
      <c r="S13" s="16">
        <f t="shared" si="6"/>
        <v>111085.71428571432</v>
      </c>
      <c r="T13" s="16">
        <f t="shared" si="7"/>
        <v>535.17141307355962</v>
      </c>
      <c r="U13">
        <f t="shared" si="14"/>
        <v>0.1</v>
      </c>
      <c r="V13">
        <f t="shared" si="15"/>
        <v>111085.71428571432</v>
      </c>
      <c r="W13">
        <f t="shared" si="8"/>
        <v>999771.42857142887</v>
      </c>
      <c r="Y13" s="16">
        <f t="shared" si="16"/>
        <v>0</v>
      </c>
    </row>
    <row r="14" spans="1:25">
      <c r="A14" s="26" t="s">
        <v>31</v>
      </c>
      <c r="B14" s="16">
        <v>108</v>
      </c>
      <c r="C14" s="17">
        <f t="shared" si="9"/>
        <v>108000</v>
      </c>
      <c r="D14" s="35">
        <v>0</v>
      </c>
      <c r="E14" s="35">
        <v>0</v>
      </c>
      <c r="F14" s="35">
        <v>0</v>
      </c>
      <c r="G14" s="35">
        <v>0</v>
      </c>
      <c r="H14" s="36">
        <v>0</v>
      </c>
      <c r="I14">
        <f t="shared" si="0"/>
        <v>0</v>
      </c>
      <c r="J14" s="17">
        <f t="shared" si="1"/>
        <v>0</v>
      </c>
      <c r="K14" s="16">
        <f t="shared" si="2"/>
        <v>0</v>
      </c>
      <c r="L14" s="30">
        <f t="shared" si="10"/>
        <v>26.3</v>
      </c>
      <c r="M14" s="17">
        <f t="shared" si="11"/>
        <v>0</v>
      </c>
      <c r="N14" s="16">
        <f t="shared" si="3"/>
        <v>0</v>
      </c>
      <c r="O14" s="16">
        <f t="shared" si="4"/>
        <v>0</v>
      </c>
      <c r="P14" s="16">
        <f t="shared" si="5"/>
        <v>0</v>
      </c>
      <c r="Q14" s="17">
        <f t="shared" si="12"/>
        <v>0</v>
      </c>
      <c r="R14" s="16">
        <f t="shared" si="13"/>
        <v>0</v>
      </c>
      <c r="S14" s="16">
        <f t="shared" si="6"/>
        <v>0</v>
      </c>
      <c r="T14" s="16">
        <f t="shared" si="7"/>
        <v>0</v>
      </c>
      <c r="U14">
        <f t="shared" si="14"/>
        <v>0</v>
      </c>
      <c r="V14">
        <f t="shared" si="15"/>
        <v>0</v>
      </c>
      <c r="W14">
        <f t="shared" si="8"/>
        <v>0</v>
      </c>
      <c r="Y14" s="16">
        <f t="shared" si="16"/>
        <v>0</v>
      </c>
    </row>
    <row r="15" spans="1:25">
      <c r="A15" s="26" t="s">
        <v>32</v>
      </c>
      <c r="B15" s="16">
        <v>264</v>
      </c>
      <c r="C15" s="17">
        <f t="shared" si="9"/>
        <v>264000</v>
      </c>
      <c r="D15" s="35">
        <v>94687.551890186543</v>
      </c>
      <c r="E15" s="35">
        <v>0</v>
      </c>
      <c r="F15" s="35">
        <v>0</v>
      </c>
      <c r="G15" s="35">
        <v>0</v>
      </c>
      <c r="H15" s="36">
        <v>15085.714285714288</v>
      </c>
      <c r="I15">
        <f t="shared" si="0"/>
        <v>2715428.5714285718</v>
      </c>
      <c r="J15" s="17">
        <f t="shared" si="1"/>
        <v>264000</v>
      </c>
      <c r="K15" s="16">
        <f t="shared" si="2"/>
        <v>26400</v>
      </c>
      <c r="L15" s="30">
        <f t="shared" si="10"/>
        <v>37.65</v>
      </c>
      <c r="M15" s="17">
        <f t="shared" si="11"/>
        <v>9939600</v>
      </c>
      <c r="N15" s="16">
        <f t="shared" si="3"/>
        <v>1188000</v>
      </c>
      <c r="O15" s="16">
        <f t="shared" si="4"/>
        <v>171600.00000000003</v>
      </c>
      <c r="P15" s="16">
        <f t="shared" si="5"/>
        <v>5142775.3513034824</v>
      </c>
      <c r="Q15" s="17">
        <f t="shared" si="12"/>
        <v>2756160</v>
      </c>
      <c r="R15" s="16">
        <f t="shared" si="13"/>
        <v>3057064.6486965176</v>
      </c>
      <c r="S15" s="16">
        <f t="shared" si="6"/>
        <v>271542.85714285716</v>
      </c>
      <c r="T15" s="16">
        <f t="shared" si="7"/>
        <v>1308.1967875131456</v>
      </c>
      <c r="U15">
        <f t="shared" si="14"/>
        <v>9.9999999999999992E-2</v>
      </c>
      <c r="V15">
        <f t="shared" si="15"/>
        <v>271542.85714285722</v>
      </c>
      <c r="W15">
        <f t="shared" si="8"/>
        <v>2443885.7142857146</v>
      </c>
      <c r="Y15" s="16">
        <f t="shared" si="16"/>
        <v>0</v>
      </c>
    </row>
    <row r="16" spans="1:25">
      <c r="A16" s="26" t="s">
        <v>33</v>
      </c>
      <c r="B16" s="16">
        <v>264</v>
      </c>
      <c r="C16" s="17">
        <f t="shared" si="9"/>
        <v>264000</v>
      </c>
      <c r="D16" s="35">
        <v>94687.551890186543</v>
      </c>
      <c r="E16" s="35">
        <v>0</v>
      </c>
      <c r="F16" s="35">
        <v>0</v>
      </c>
      <c r="G16" s="35">
        <v>0</v>
      </c>
      <c r="H16" s="36">
        <v>15085.714285714288</v>
      </c>
      <c r="I16">
        <f t="shared" si="0"/>
        <v>2715428.5714285718</v>
      </c>
      <c r="J16" s="17">
        <f t="shared" si="1"/>
        <v>264000</v>
      </c>
      <c r="K16" s="16">
        <f t="shared" si="2"/>
        <v>26400</v>
      </c>
      <c r="L16" s="30">
        <f t="shared" si="10"/>
        <v>28.2</v>
      </c>
      <c r="M16" s="17">
        <f t="shared" si="11"/>
        <v>7444800</v>
      </c>
      <c r="N16" s="16">
        <f t="shared" si="3"/>
        <v>1188000</v>
      </c>
      <c r="O16" s="16">
        <f t="shared" si="4"/>
        <v>171600.00000000003</v>
      </c>
      <c r="P16" s="16">
        <f t="shared" si="5"/>
        <v>5142775.3513034824</v>
      </c>
      <c r="Q16" s="17">
        <f t="shared" si="12"/>
        <v>2756160</v>
      </c>
      <c r="R16" s="16">
        <f t="shared" si="13"/>
        <v>562264.64869651757</v>
      </c>
      <c r="S16" s="16">
        <f t="shared" si="6"/>
        <v>271542.85714285716</v>
      </c>
      <c r="T16" s="16">
        <f t="shared" si="7"/>
        <v>1308.1967875131456</v>
      </c>
      <c r="U16">
        <f t="shared" si="14"/>
        <v>9.9999999999999992E-2</v>
      </c>
      <c r="V16">
        <f t="shared" si="15"/>
        <v>271542.85714285722</v>
      </c>
      <c r="W16">
        <f t="shared" si="8"/>
        <v>2443885.7142857146</v>
      </c>
      <c r="Y16" s="16">
        <f t="shared" si="16"/>
        <v>0</v>
      </c>
    </row>
    <row r="17" spans="1:25">
      <c r="A17" s="26" t="s">
        <v>34</v>
      </c>
      <c r="B17" s="16">
        <v>108</v>
      </c>
      <c r="C17" s="17">
        <f t="shared" si="9"/>
        <v>108000</v>
      </c>
      <c r="D17" s="35">
        <v>38735.816682349046</v>
      </c>
      <c r="E17" s="35">
        <v>0</v>
      </c>
      <c r="F17" s="35">
        <v>0</v>
      </c>
      <c r="G17" s="35">
        <v>0</v>
      </c>
      <c r="H17" s="36">
        <v>6171.4285714285734</v>
      </c>
      <c r="I17">
        <f t="shared" si="0"/>
        <v>1110857.1428571432</v>
      </c>
      <c r="J17" s="17">
        <f t="shared" si="1"/>
        <v>108000.00000000003</v>
      </c>
      <c r="K17" s="16">
        <f t="shared" si="2"/>
        <v>10800.000000000002</v>
      </c>
      <c r="L17" s="30">
        <f t="shared" si="10"/>
        <v>35.65</v>
      </c>
      <c r="M17" s="17">
        <f t="shared" si="11"/>
        <v>3850200.0000000009</v>
      </c>
      <c r="N17" s="16">
        <f t="shared" si="3"/>
        <v>486000.00000000006</v>
      </c>
      <c r="O17" s="16">
        <f t="shared" si="4"/>
        <v>70200.000000000029</v>
      </c>
      <c r="P17" s="16">
        <f t="shared" si="5"/>
        <v>2103862.6437150612</v>
      </c>
      <c r="Q17" s="17">
        <f t="shared" si="12"/>
        <v>1127520.0000000005</v>
      </c>
      <c r="R17" s="16">
        <f t="shared" si="13"/>
        <v>1034617.3562849392</v>
      </c>
      <c r="S17" s="16">
        <f t="shared" si="6"/>
        <v>111085.71428571432</v>
      </c>
      <c r="T17" s="16">
        <f t="shared" si="7"/>
        <v>535.17141307355962</v>
      </c>
      <c r="U17">
        <f t="shared" si="14"/>
        <v>0.1</v>
      </c>
      <c r="V17">
        <f t="shared" si="15"/>
        <v>111085.71428571432</v>
      </c>
      <c r="W17">
        <f t="shared" si="8"/>
        <v>999771.42857142887</v>
      </c>
      <c r="Y17" s="16">
        <f t="shared" si="16"/>
        <v>0</v>
      </c>
    </row>
    <row r="18" spans="1:25">
      <c r="A18" s="26" t="s">
        <v>35</v>
      </c>
      <c r="B18" s="16">
        <v>108</v>
      </c>
      <c r="C18" s="17">
        <f t="shared" si="9"/>
        <v>108000</v>
      </c>
      <c r="D18" s="35">
        <v>38735.816682349046</v>
      </c>
      <c r="E18" s="35">
        <v>0</v>
      </c>
      <c r="F18" s="35">
        <v>0</v>
      </c>
      <c r="G18" s="35">
        <v>0</v>
      </c>
      <c r="H18" s="36">
        <v>6171.4285714285734</v>
      </c>
      <c r="I18">
        <f t="shared" si="0"/>
        <v>1110857.1428571432</v>
      </c>
      <c r="J18" s="17">
        <f t="shared" si="1"/>
        <v>108000.00000000003</v>
      </c>
      <c r="K18" s="16">
        <f t="shared" si="2"/>
        <v>10800.000000000002</v>
      </c>
      <c r="L18" s="30">
        <f t="shared" si="10"/>
        <v>27.5</v>
      </c>
      <c r="M18" s="17">
        <f t="shared" si="11"/>
        <v>2970000.0000000009</v>
      </c>
      <c r="N18" s="16">
        <f t="shared" si="3"/>
        <v>486000.00000000006</v>
      </c>
      <c r="O18" s="16">
        <f t="shared" si="4"/>
        <v>70200.000000000029</v>
      </c>
      <c r="P18" s="16">
        <f t="shared" si="5"/>
        <v>2103862.6437150612</v>
      </c>
      <c r="Q18" s="17">
        <f t="shared" si="12"/>
        <v>1127520.0000000005</v>
      </c>
      <c r="R18" s="16">
        <f t="shared" si="13"/>
        <v>154417.35628493922</v>
      </c>
      <c r="S18" s="16">
        <f t="shared" si="6"/>
        <v>111085.71428571432</v>
      </c>
      <c r="T18" s="16">
        <f t="shared" si="7"/>
        <v>535.17141307355962</v>
      </c>
      <c r="U18">
        <f t="shared" si="14"/>
        <v>0.1</v>
      </c>
      <c r="V18">
        <f t="shared" si="15"/>
        <v>111085.71428571432</v>
      </c>
      <c r="W18">
        <f t="shared" si="8"/>
        <v>999771.42857142887</v>
      </c>
      <c r="Y18" s="16">
        <f t="shared" si="16"/>
        <v>0</v>
      </c>
    </row>
    <row r="19" spans="1:25">
      <c r="A19" s="26" t="s">
        <v>36</v>
      </c>
      <c r="B19" s="16">
        <v>264</v>
      </c>
      <c r="C19" s="17">
        <f t="shared" si="9"/>
        <v>264000</v>
      </c>
      <c r="D19" s="35">
        <v>0</v>
      </c>
      <c r="E19" s="35">
        <v>0</v>
      </c>
      <c r="F19" s="35">
        <v>0</v>
      </c>
      <c r="G19" s="35">
        <v>93278.080697927988</v>
      </c>
      <c r="H19" s="36">
        <v>15085.71428571429</v>
      </c>
      <c r="I19">
        <f t="shared" si="0"/>
        <v>2715428.5714285704</v>
      </c>
      <c r="J19" s="17">
        <f t="shared" si="1"/>
        <v>263999.99999999988</v>
      </c>
      <c r="K19" s="16">
        <f t="shared" si="2"/>
        <v>26400.000000000004</v>
      </c>
      <c r="L19" s="30">
        <f t="shared" si="10"/>
        <v>38.35</v>
      </c>
      <c r="M19" s="17">
        <f t="shared" si="11"/>
        <v>10124399.999999996</v>
      </c>
      <c r="N19" s="16">
        <f t="shared" si="3"/>
        <v>1188000.0000000002</v>
      </c>
      <c r="O19" s="16">
        <f t="shared" si="4"/>
        <v>171599.99999999994</v>
      </c>
      <c r="P19" s="16">
        <f t="shared" si="5"/>
        <v>5030552.5321701188</v>
      </c>
      <c r="Q19" s="17">
        <f t="shared" si="12"/>
        <v>2756159.9999999986</v>
      </c>
      <c r="R19" s="16">
        <f t="shared" si="13"/>
        <v>3354087.4678298789</v>
      </c>
      <c r="S19" s="16">
        <f t="shared" si="6"/>
        <v>271542.85714285722</v>
      </c>
      <c r="T19" s="16">
        <f t="shared" si="7"/>
        <v>1605.8915594329328</v>
      </c>
      <c r="U19">
        <f t="shared" si="14"/>
        <v>0.10000000000000006</v>
      </c>
      <c r="V19">
        <f t="shared" si="15"/>
        <v>271542.85714285704</v>
      </c>
      <c r="W19">
        <f t="shared" si="8"/>
        <v>2443885.7142857132</v>
      </c>
      <c r="Y19" s="16">
        <f t="shared" si="16"/>
        <v>0</v>
      </c>
    </row>
    <row r="20" spans="1:25">
      <c r="A20" s="26" t="s">
        <v>37</v>
      </c>
      <c r="B20" s="16">
        <v>264</v>
      </c>
      <c r="C20" s="17">
        <f t="shared" si="9"/>
        <v>264000</v>
      </c>
      <c r="D20" s="35">
        <v>0</v>
      </c>
      <c r="E20" s="35">
        <v>0</v>
      </c>
      <c r="F20" s="35">
        <v>0</v>
      </c>
      <c r="G20" s="35">
        <v>93278.080697927988</v>
      </c>
      <c r="H20" s="36">
        <v>15085.71428571429</v>
      </c>
      <c r="I20">
        <f t="shared" si="0"/>
        <v>2715428.5714285704</v>
      </c>
      <c r="J20" s="17">
        <f t="shared" si="1"/>
        <v>263999.99999999988</v>
      </c>
      <c r="K20" s="16">
        <f t="shared" si="2"/>
        <v>26400.000000000004</v>
      </c>
      <c r="L20" s="30">
        <f t="shared" si="10"/>
        <v>28.5</v>
      </c>
      <c r="M20" s="17">
        <f t="shared" si="11"/>
        <v>7523999.9999999963</v>
      </c>
      <c r="N20" s="16">
        <f t="shared" si="3"/>
        <v>1188000.0000000002</v>
      </c>
      <c r="O20" s="16">
        <f t="shared" si="4"/>
        <v>171599.99999999994</v>
      </c>
      <c r="P20" s="16">
        <f t="shared" si="5"/>
        <v>5030552.5321701188</v>
      </c>
      <c r="Q20" s="17">
        <f t="shared" si="12"/>
        <v>2756159.9999999986</v>
      </c>
      <c r="R20" s="16">
        <f t="shared" si="13"/>
        <v>753687.46782987891</v>
      </c>
      <c r="S20" s="16">
        <f t="shared" si="6"/>
        <v>271542.85714285722</v>
      </c>
      <c r="T20" s="16">
        <f t="shared" si="7"/>
        <v>1605.8915594329328</v>
      </c>
      <c r="U20">
        <f t="shared" si="14"/>
        <v>0.10000000000000006</v>
      </c>
      <c r="V20">
        <f t="shared" si="15"/>
        <v>271542.85714285704</v>
      </c>
      <c r="W20">
        <f t="shared" si="8"/>
        <v>2443885.7142857132</v>
      </c>
      <c r="Y20" s="16">
        <f t="shared" si="16"/>
        <v>0</v>
      </c>
    </row>
    <row r="21" spans="1:25">
      <c r="A21" s="26" t="s">
        <v>38</v>
      </c>
      <c r="B21" s="16">
        <v>96</v>
      </c>
      <c r="C21" s="17">
        <f t="shared" si="9"/>
        <v>96000</v>
      </c>
      <c r="D21" s="35">
        <v>0</v>
      </c>
      <c r="E21" s="35">
        <v>0</v>
      </c>
      <c r="F21" s="35">
        <v>0</v>
      </c>
      <c r="G21" s="35">
        <v>33919.302071973812</v>
      </c>
      <c r="H21" s="36">
        <v>5485.7142857142871</v>
      </c>
      <c r="I21">
        <f t="shared" si="0"/>
        <v>987428.57142857101</v>
      </c>
      <c r="J21" s="17">
        <f t="shared" si="1"/>
        <v>95999.999999999956</v>
      </c>
      <c r="K21" s="16">
        <f t="shared" si="2"/>
        <v>9600.0000000000018</v>
      </c>
      <c r="L21" s="30">
        <f t="shared" si="10"/>
        <v>35.799999999999997</v>
      </c>
      <c r="M21" s="17">
        <f t="shared" si="11"/>
        <v>3436799.9999999981</v>
      </c>
      <c r="N21" s="16">
        <f t="shared" si="3"/>
        <v>432000.00000000006</v>
      </c>
      <c r="O21" s="16">
        <f t="shared" si="4"/>
        <v>62399.999999999964</v>
      </c>
      <c r="P21" s="16">
        <f t="shared" si="5"/>
        <v>1829291.8298800432</v>
      </c>
      <c r="Q21" s="17">
        <f t="shared" si="12"/>
        <v>1002239.9999999995</v>
      </c>
      <c r="R21" s="16">
        <f t="shared" si="13"/>
        <v>974868.17011995544</v>
      </c>
      <c r="S21" s="16">
        <f t="shared" si="6"/>
        <v>98742.857142857174</v>
      </c>
      <c r="T21" s="16">
        <f t="shared" si="7"/>
        <v>583.96056706652109</v>
      </c>
      <c r="U21">
        <f t="shared" si="14"/>
        <v>0.10000000000000007</v>
      </c>
      <c r="V21">
        <f t="shared" si="15"/>
        <v>98742.857142857101</v>
      </c>
      <c r="W21">
        <f t="shared" si="8"/>
        <v>888685.71428571385</v>
      </c>
      <c r="Y21" s="16">
        <f t="shared" si="16"/>
        <v>0</v>
      </c>
    </row>
    <row r="22" spans="1:25">
      <c r="A22" s="26" t="s">
        <v>39</v>
      </c>
      <c r="B22" s="16">
        <v>96</v>
      </c>
      <c r="C22" s="17">
        <f t="shared" si="9"/>
        <v>96000</v>
      </c>
      <c r="D22" s="35">
        <v>0</v>
      </c>
      <c r="E22" s="35">
        <v>0</v>
      </c>
      <c r="F22" s="35">
        <v>0</v>
      </c>
      <c r="G22" s="35">
        <v>33919.302071973812</v>
      </c>
      <c r="H22" s="36">
        <v>5485.7142857142871</v>
      </c>
      <c r="I22">
        <f t="shared" si="0"/>
        <v>987428.57142857101</v>
      </c>
      <c r="J22" s="17">
        <f t="shared" si="1"/>
        <v>95999.999999999956</v>
      </c>
      <c r="K22" s="16">
        <f t="shared" si="2"/>
        <v>9600.0000000000018</v>
      </c>
      <c r="L22" s="30">
        <f t="shared" si="10"/>
        <v>27.65</v>
      </c>
      <c r="M22" s="17">
        <f t="shared" si="11"/>
        <v>2654399.9999999986</v>
      </c>
      <c r="N22" s="16">
        <f t="shared" si="3"/>
        <v>432000.00000000006</v>
      </c>
      <c r="O22" s="16">
        <f t="shared" si="4"/>
        <v>62399.999999999964</v>
      </c>
      <c r="P22" s="16">
        <f t="shared" si="5"/>
        <v>1829291.8298800432</v>
      </c>
      <c r="Q22" s="17">
        <f t="shared" si="12"/>
        <v>1002239.9999999995</v>
      </c>
      <c r="R22" s="16">
        <f t="shared" si="13"/>
        <v>192468.1701199559</v>
      </c>
      <c r="S22" s="16">
        <f t="shared" si="6"/>
        <v>98742.857142857174</v>
      </c>
      <c r="T22" s="16">
        <f t="shared" si="7"/>
        <v>583.96056706652109</v>
      </c>
      <c r="U22">
        <f t="shared" si="14"/>
        <v>0.10000000000000007</v>
      </c>
      <c r="V22">
        <f t="shared" si="15"/>
        <v>98742.857142857101</v>
      </c>
      <c r="W22">
        <f t="shared" si="8"/>
        <v>888685.71428571385</v>
      </c>
      <c r="Y22" s="16">
        <f t="shared" si="16"/>
        <v>0</v>
      </c>
    </row>
    <row r="23" spans="1:25">
      <c r="A23" s="26" t="s">
        <v>40</v>
      </c>
      <c r="B23" s="16">
        <v>252</v>
      </c>
      <c r="C23" s="17">
        <f t="shared" si="9"/>
        <v>252000</v>
      </c>
      <c r="D23" s="35">
        <v>0</v>
      </c>
      <c r="E23" s="35">
        <v>0</v>
      </c>
      <c r="F23" s="35">
        <v>0</v>
      </c>
      <c r="G23" s="35">
        <v>89038.167938931263</v>
      </c>
      <c r="H23" s="36">
        <v>14400.000000000004</v>
      </c>
      <c r="I23">
        <f t="shared" si="0"/>
        <v>2591999.9999999991</v>
      </c>
      <c r="J23" s="17">
        <f t="shared" si="1"/>
        <v>251999.99999999988</v>
      </c>
      <c r="K23" s="16">
        <f t="shared" si="2"/>
        <v>25200.000000000004</v>
      </c>
      <c r="L23" s="30">
        <f t="shared" si="10"/>
        <v>43.7</v>
      </c>
      <c r="M23" s="17">
        <f t="shared" si="11"/>
        <v>11012399.999999996</v>
      </c>
      <c r="N23" s="16">
        <f t="shared" si="3"/>
        <v>1134000</v>
      </c>
      <c r="O23" s="16">
        <f t="shared" si="4"/>
        <v>163799.99999999994</v>
      </c>
      <c r="P23" s="16">
        <f t="shared" si="5"/>
        <v>4801891.0534351133</v>
      </c>
      <c r="Q23" s="17">
        <f t="shared" si="12"/>
        <v>2630879.9999999986</v>
      </c>
      <c r="R23" s="16">
        <f t="shared" si="13"/>
        <v>4549828.9465648849</v>
      </c>
      <c r="S23" s="16">
        <f t="shared" si="6"/>
        <v>259200.00000000006</v>
      </c>
      <c r="T23" s="16">
        <f t="shared" si="7"/>
        <v>1532.8964885496177</v>
      </c>
      <c r="U23">
        <f t="shared" si="14"/>
        <v>0.10000000000000006</v>
      </c>
      <c r="V23">
        <f t="shared" si="15"/>
        <v>259199.99999999991</v>
      </c>
      <c r="W23">
        <f t="shared" si="8"/>
        <v>2332799.9999999991</v>
      </c>
      <c r="Y23" s="16">
        <f t="shared" si="16"/>
        <v>0</v>
      </c>
    </row>
    <row r="24" spans="1:25">
      <c r="A24" s="26" t="s">
        <v>41</v>
      </c>
      <c r="B24" s="16">
        <v>252</v>
      </c>
      <c r="C24" s="17">
        <f t="shared" si="9"/>
        <v>252000</v>
      </c>
      <c r="D24" s="35">
        <v>0</v>
      </c>
      <c r="E24" s="35">
        <v>0</v>
      </c>
      <c r="F24" s="35">
        <v>0</v>
      </c>
      <c r="G24" s="35">
        <v>89038.167938931263</v>
      </c>
      <c r="H24" s="36">
        <v>14400.000000000004</v>
      </c>
      <c r="I24">
        <f t="shared" si="0"/>
        <v>2591999.9999999991</v>
      </c>
      <c r="J24" s="17">
        <f t="shared" si="1"/>
        <v>251999.99999999988</v>
      </c>
      <c r="K24" s="16">
        <f t="shared" si="2"/>
        <v>25200.000000000004</v>
      </c>
      <c r="L24" s="30">
        <f t="shared" si="10"/>
        <v>31.7</v>
      </c>
      <c r="M24" s="17">
        <f t="shared" si="11"/>
        <v>7988399.9999999963</v>
      </c>
      <c r="N24" s="16">
        <f t="shared" si="3"/>
        <v>1134000</v>
      </c>
      <c r="O24" s="16">
        <f t="shared" si="4"/>
        <v>163799.99999999994</v>
      </c>
      <c r="P24" s="16">
        <f t="shared" si="5"/>
        <v>4801891.0534351133</v>
      </c>
      <c r="Q24" s="17">
        <f t="shared" si="12"/>
        <v>2630879.9999999986</v>
      </c>
      <c r="R24" s="16">
        <f t="shared" si="13"/>
        <v>1525828.9465648844</v>
      </c>
      <c r="S24" s="16">
        <f t="shared" si="6"/>
        <v>259200.00000000006</v>
      </c>
      <c r="T24" s="16">
        <f t="shared" si="7"/>
        <v>1532.8964885496177</v>
      </c>
      <c r="U24">
        <f t="shared" si="14"/>
        <v>0.10000000000000006</v>
      </c>
      <c r="V24">
        <f t="shared" si="15"/>
        <v>259199.99999999991</v>
      </c>
      <c r="W24">
        <f t="shared" si="8"/>
        <v>2332799.9999999991</v>
      </c>
      <c r="Y24" s="16">
        <f t="shared" si="16"/>
        <v>0</v>
      </c>
    </row>
    <row r="25" spans="1:25">
      <c r="A25" s="26" t="s">
        <v>42</v>
      </c>
      <c r="B25" s="16">
        <v>120</v>
      </c>
      <c r="C25" s="17">
        <f t="shared" si="9"/>
        <v>120000</v>
      </c>
      <c r="D25" s="35">
        <v>0</v>
      </c>
      <c r="E25" s="35">
        <v>0</v>
      </c>
      <c r="F25" s="35">
        <v>0</v>
      </c>
      <c r="G25" s="35">
        <v>42399.127589967262</v>
      </c>
      <c r="H25" s="36">
        <v>6857.1428571428587</v>
      </c>
      <c r="I25">
        <f t="shared" si="0"/>
        <v>1234285.7142857136</v>
      </c>
      <c r="J25" s="17">
        <f t="shared" si="1"/>
        <v>119999.99999999993</v>
      </c>
      <c r="K25" s="16">
        <f t="shared" si="2"/>
        <v>12000.000000000002</v>
      </c>
      <c r="L25" s="30">
        <f t="shared" si="10"/>
        <v>38.700000000000003</v>
      </c>
      <c r="M25" s="17">
        <f t="shared" si="11"/>
        <v>4643999.9999999972</v>
      </c>
      <c r="N25" s="16">
        <f t="shared" si="3"/>
        <v>540000</v>
      </c>
      <c r="O25" s="16">
        <f t="shared" si="4"/>
        <v>77999.999999999971</v>
      </c>
      <c r="P25" s="16">
        <f t="shared" si="5"/>
        <v>2286614.7873500539</v>
      </c>
      <c r="Q25" s="17">
        <f t="shared" si="12"/>
        <v>1252799.9999999991</v>
      </c>
      <c r="R25" s="16">
        <f t="shared" si="13"/>
        <v>1566585.2126499442</v>
      </c>
      <c r="S25" s="16">
        <f t="shared" si="6"/>
        <v>123428.57142857145</v>
      </c>
      <c r="T25" s="16">
        <f t="shared" si="7"/>
        <v>729.95070883315134</v>
      </c>
      <c r="U25">
        <f t="shared" si="14"/>
        <v>0.10000000000000007</v>
      </c>
      <c r="V25">
        <f t="shared" si="15"/>
        <v>123428.57142857136</v>
      </c>
      <c r="W25">
        <f t="shared" si="8"/>
        <v>1110857.1428571423</v>
      </c>
      <c r="Y25" s="16">
        <f t="shared" si="16"/>
        <v>0</v>
      </c>
    </row>
    <row r="26" spans="1:25" ht="15.95" thickBot="1">
      <c r="A26" s="73" t="s">
        <v>43</v>
      </c>
      <c r="B26" s="74">
        <v>120</v>
      </c>
      <c r="C26" s="17">
        <f t="shared" si="9"/>
        <v>120000</v>
      </c>
      <c r="D26" s="75">
        <v>0</v>
      </c>
      <c r="E26" s="75">
        <v>0</v>
      </c>
      <c r="F26" s="75">
        <v>0</v>
      </c>
      <c r="G26" s="75">
        <v>42399.127589967262</v>
      </c>
      <c r="H26" s="76">
        <v>6857.1428571428587</v>
      </c>
      <c r="I26">
        <f t="shared" si="0"/>
        <v>1234285.7142857136</v>
      </c>
      <c r="J26" s="17">
        <f t="shared" si="1"/>
        <v>119999.99999999993</v>
      </c>
      <c r="K26" s="74">
        <f t="shared" si="2"/>
        <v>12000.000000000002</v>
      </c>
      <c r="L26" s="30">
        <f t="shared" si="10"/>
        <v>30.1</v>
      </c>
      <c r="M26" s="17">
        <f t="shared" si="11"/>
        <v>3611999.9999999981</v>
      </c>
      <c r="N26" s="74">
        <f t="shared" si="3"/>
        <v>540000</v>
      </c>
      <c r="O26" s="74">
        <f t="shared" si="4"/>
        <v>77999.999999999971</v>
      </c>
      <c r="P26" s="74">
        <f t="shared" si="5"/>
        <v>2286614.7873500539</v>
      </c>
      <c r="Q26" s="17">
        <f>J26*0.8*0.87*15</f>
        <v>1252799.9999999991</v>
      </c>
      <c r="R26" s="74">
        <f t="shared" si="13"/>
        <v>534585.21264994517</v>
      </c>
      <c r="S26" s="74">
        <f t="shared" si="6"/>
        <v>123428.57142857145</v>
      </c>
      <c r="T26" s="74">
        <f t="shared" si="7"/>
        <v>729.95070883315134</v>
      </c>
      <c r="U26">
        <f t="shared" si="14"/>
        <v>0.10000000000000007</v>
      </c>
      <c r="V26">
        <f t="shared" si="15"/>
        <v>123428.57142857136</v>
      </c>
      <c r="W26">
        <f t="shared" si="8"/>
        <v>1110857.1428571423</v>
      </c>
      <c r="Y26" s="16">
        <f t="shared" si="16"/>
        <v>0</v>
      </c>
    </row>
    <row r="27" spans="1:25" ht="15.95" thickBot="1">
      <c r="A27" s="31" t="s">
        <v>44</v>
      </c>
      <c r="B27" s="31"/>
      <c r="C27" s="31">
        <f>SUM(C7:C26)</f>
        <v>3672000</v>
      </c>
      <c r="D27" s="31">
        <f>SUM(D7:D26)</f>
        <v>600000.00000000012</v>
      </c>
      <c r="E27" s="31">
        <f t="shared" ref="E27:H27" si="17">SUM(E7:E26)</f>
        <v>0</v>
      </c>
      <c r="F27" s="31">
        <f t="shared" si="17"/>
        <v>0</v>
      </c>
      <c r="G27" s="31">
        <f t="shared" si="17"/>
        <v>517269.35659760068</v>
      </c>
      <c r="H27" s="31">
        <f t="shared" si="17"/>
        <v>179249.73544973548</v>
      </c>
      <c r="I27" s="31"/>
      <c r="J27" s="31">
        <f>SUM(J7:J26)</f>
        <v>3136870.3703703699</v>
      </c>
      <c r="K27" s="31">
        <f t="shared" ref="K27:T27" si="18">SUM(K7:K26)</f>
        <v>313687.03703703702</v>
      </c>
      <c r="L27" s="31">
        <f t="shared" si="18"/>
        <v>650.15000000000009</v>
      </c>
      <c r="M27" s="31">
        <f t="shared" si="18"/>
        <v>106537299.99999999</v>
      </c>
      <c r="N27" s="31">
        <f t="shared" si="18"/>
        <v>14115916.666666666</v>
      </c>
      <c r="O27" s="31">
        <f t="shared" si="18"/>
        <v>2038965.7407407407</v>
      </c>
      <c r="P27" s="31">
        <f t="shared" si="18"/>
        <v>60484565.96122621</v>
      </c>
      <c r="Q27" s="31">
        <f t="shared" si="18"/>
        <v>32748926.666666664</v>
      </c>
      <c r="R27" s="66">
        <f>SUM(R7:R26)-T27*40</f>
        <v>24692959.981752072</v>
      </c>
      <c r="S27" s="31">
        <f t="shared" si="18"/>
        <v>3226495.2380952383</v>
      </c>
      <c r="T27" s="55">
        <f t="shared" si="18"/>
        <v>17194.957907023705</v>
      </c>
      <c r="V27">
        <f>SUM(V7:V26)</f>
        <v>3226495.2380952379</v>
      </c>
      <c r="W27">
        <f t="shared" si="8"/>
        <v>29038457.142857142</v>
      </c>
      <c r="Y27" s="32"/>
    </row>
    <row r="28" spans="1:25" ht="15.95" thickBot="1">
      <c r="L28" s="67"/>
      <c r="M28" s="67"/>
      <c r="N28" s="67"/>
      <c r="O28" s="67"/>
      <c r="P28" s="67"/>
    </row>
    <row r="29" spans="1:25" ht="15.95" thickBot="1">
      <c r="F29" s="37" t="s">
        <v>45</v>
      </c>
      <c r="G29" s="37" t="s">
        <v>46</v>
      </c>
      <c r="J29" s="31" t="s">
        <v>47</v>
      </c>
      <c r="K29" s="31" t="s">
        <v>48</v>
      </c>
      <c r="L29" s="11"/>
      <c r="M29" s="31" t="s">
        <v>49</v>
      </c>
      <c r="N29" s="31" t="s">
        <v>50</v>
      </c>
      <c r="O29" s="31" t="s">
        <v>51</v>
      </c>
      <c r="P29" s="31" t="s">
        <v>52</v>
      </c>
      <c r="Q29" s="31" t="s">
        <v>53</v>
      </c>
      <c r="R29" s="31" t="s">
        <v>54</v>
      </c>
    </row>
    <row r="30" spans="1:25">
      <c r="F30" s="16" t="s">
        <v>24</v>
      </c>
      <c r="G30" s="16">
        <v>36</v>
      </c>
      <c r="J30" s="16" t="s">
        <v>55</v>
      </c>
      <c r="K30" s="16">
        <v>0.35</v>
      </c>
      <c r="M30" s="77" t="s">
        <v>56</v>
      </c>
      <c r="N30" s="16">
        <v>42.56</v>
      </c>
      <c r="O30" s="16">
        <v>43.93</v>
      </c>
      <c r="P30" s="16">
        <v>43.8</v>
      </c>
      <c r="Q30" s="16">
        <v>42</v>
      </c>
      <c r="R30" s="16">
        <v>73.77</v>
      </c>
    </row>
    <row r="31" spans="1:25">
      <c r="F31" s="16" t="s">
        <v>25</v>
      </c>
      <c r="G31" s="16">
        <v>27</v>
      </c>
      <c r="J31" s="16" t="s">
        <v>57</v>
      </c>
      <c r="K31" s="16">
        <v>1000</v>
      </c>
      <c r="M31" s="77" t="s">
        <v>58</v>
      </c>
      <c r="N31" s="16">
        <v>25.81</v>
      </c>
      <c r="O31" s="16">
        <v>25.12</v>
      </c>
      <c r="P31" s="16">
        <v>24.5</v>
      </c>
      <c r="Q31" s="16">
        <v>26.2</v>
      </c>
      <c r="R31" s="16">
        <v>18</v>
      </c>
    </row>
    <row r="32" spans="1:25">
      <c r="F32" s="16" t="s">
        <v>26</v>
      </c>
      <c r="G32" s="16">
        <v>33.5</v>
      </c>
      <c r="J32" s="16" t="s">
        <v>59</v>
      </c>
      <c r="K32" s="16">
        <v>0.65</v>
      </c>
      <c r="M32" s="77" t="s">
        <v>60</v>
      </c>
      <c r="N32" s="16">
        <v>1.38</v>
      </c>
      <c r="O32" s="16">
        <v>0.7</v>
      </c>
      <c r="P32" s="16">
        <v>0.35</v>
      </c>
      <c r="Q32" s="16">
        <v>1.72</v>
      </c>
      <c r="R32" s="16">
        <v>0.01</v>
      </c>
    </row>
    <row r="33" spans="6:34">
      <c r="F33" s="16" t="s">
        <v>27</v>
      </c>
      <c r="G33" s="16">
        <v>26.2</v>
      </c>
      <c r="J33" s="16" t="s">
        <v>61</v>
      </c>
      <c r="K33" s="16">
        <v>0.8</v>
      </c>
      <c r="W33" s="9"/>
    </row>
    <row r="34" spans="6:34">
      <c r="F34" s="16" t="s">
        <v>28</v>
      </c>
      <c r="G34" s="16">
        <v>36.35</v>
      </c>
      <c r="J34" s="16" t="s">
        <v>62</v>
      </c>
      <c r="K34" s="16">
        <v>15</v>
      </c>
      <c r="W34" s="9"/>
    </row>
    <row r="35" spans="6:34">
      <c r="F35" s="16" t="s">
        <v>29</v>
      </c>
      <c r="G35" s="16">
        <v>27</v>
      </c>
      <c r="J35" s="16" t="s">
        <v>63</v>
      </c>
      <c r="K35" s="16">
        <v>0.87</v>
      </c>
      <c r="W35" s="9"/>
    </row>
    <row r="36" spans="6:34">
      <c r="F36" s="16" t="s">
        <v>30</v>
      </c>
      <c r="G36" s="16">
        <v>34.299999999999997</v>
      </c>
      <c r="J36" s="16" t="s">
        <v>64</v>
      </c>
      <c r="K36" s="16">
        <v>45</v>
      </c>
      <c r="W36" s="9"/>
    </row>
    <row r="37" spans="6:34">
      <c r="F37" s="16" t="s">
        <v>31</v>
      </c>
      <c r="G37" s="16">
        <v>26.3</v>
      </c>
      <c r="J37" s="16" t="s">
        <v>65</v>
      </c>
      <c r="K37" s="16">
        <v>9000</v>
      </c>
      <c r="W37" s="9"/>
    </row>
    <row r="38" spans="6:34">
      <c r="F38" s="16" t="s">
        <v>32</v>
      </c>
      <c r="G38" s="16">
        <v>37.65</v>
      </c>
      <c r="J38" s="16" t="s">
        <v>66</v>
      </c>
      <c r="K38" s="16">
        <v>600000</v>
      </c>
    </row>
    <row r="39" spans="6:34">
      <c r="F39" s="16" t="s">
        <v>33</v>
      </c>
      <c r="G39" s="16">
        <v>28.2</v>
      </c>
      <c r="J39" s="16" t="s">
        <v>67</v>
      </c>
      <c r="K39" s="16">
        <v>0.1</v>
      </c>
    </row>
    <row r="40" spans="6:34">
      <c r="F40" s="16" t="s">
        <v>34</v>
      </c>
      <c r="G40" s="16">
        <v>35.65</v>
      </c>
      <c r="J40" s="16" t="s">
        <v>68</v>
      </c>
      <c r="K40" s="16">
        <v>12</v>
      </c>
      <c r="O40" s="13"/>
    </row>
    <row r="41" spans="6:34">
      <c r="F41" s="16" t="s">
        <v>35</v>
      </c>
      <c r="G41" s="16">
        <v>27.5</v>
      </c>
      <c r="J41" s="16" t="s">
        <v>69</v>
      </c>
      <c r="K41" s="16">
        <v>12</v>
      </c>
      <c r="O41" s="13"/>
    </row>
    <row r="42" spans="6:34">
      <c r="F42" s="16" t="s">
        <v>36</v>
      </c>
      <c r="G42" s="16">
        <v>38.35</v>
      </c>
      <c r="J42" s="16" t="s">
        <v>70</v>
      </c>
      <c r="K42" s="16">
        <v>0</v>
      </c>
      <c r="O42" s="13"/>
      <c r="AC42" s="28"/>
    </row>
    <row r="43" spans="6:34">
      <c r="F43" s="16" t="s">
        <v>37</v>
      </c>
      <c r="G43" s="16">
        <v>28.5</v>
      </c>
      <c r="J43" s="16" t="s">
        <v>71</v>
      </c>
      <c r="K43" s="16">
        <v>0</v>
      </c>
      <c r="O43" s="13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spans="6:34">
      <c r="F44" s="16" t="s">
        <v>38</v>
      </c>
      <c r="G44" s="16">
        <v>35.799999999999997</v>
      </c>
      <c r="J44" s="16" t="s">
        <v>72</v>
      </c>
      <c r="K44" s="16">
        <v>0</v>
      </c>
      <c r="O44" s="13"/>
    </row>
    <row r="45" spans="6:34">
      <c r="F45" s="16" t="s">
        <v>39</v>
      </c>
      <c r="G45" s="16">
        <v>27.65</v>
      </c>
    </row>
    <row r="46" spans="6:34">
      <c r="F46" s="16" t="s">
        <v>40</v>
      </c>
      <c r="G46" s="16">
        <v>43.7</v>
      </c>
    </row>
    <row r="47" spans="6:34">
      <c r="F47" s="16" t="s">
        <v>41</v>
      </c>
      <c r="G47" s="16">
        <v>31.7</v>
      </c>
    </row>
    <row r="48" spans="6:34">
      <c r="F48" s="16" t="s">
        <v>42</v>
      </c>
      <c r="G48" s="16">
        <v>38.700000000000003</v>
      </c>
    </row>
    <row r="49" spans="6:7">
      <c r="F49" s="16" t="s">
        <v>43</v>
      </c>
      <c r="G49" s="16">
        <v>30.1</v>
      </c>
    </row>
  </sheetData>
  <mergeCells count="1">
    <mergeCell ref="L28:P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70B7-29A3-6E44-95AA-5BC8D200E4F2}">
  <dimension ref="A5:AH49"/>
  <sheetViews>
    <sheetView topLeftCell="A4" zoomScale="74" workbookViewId="0">
      <selection activeCell="R27" sqref="R27"/>
    </sheetView>
  </sheetViews>
  <sheetFormatPr defaultColWidth="8.85546875" defaultRowHeight="15"/>
  <cols>
    <col min="1" max="1" width="24.85546875" customWidth="1"/>
    <col min="2" max="2" width="10" customWidth="1"/>
    <col min="3" max="3" width="10.85546875" customWidth="1"/>
    <col min="4" max="4" width="12.140625" customWidth="1"/>
    <col min="5" max="5" width="14" customWidth="1"/>
    <col min="6" max="6" width="22.7109375" customWidth="1"/>
    <col min="7" max="7" width="20.42578125" customWidth="1"/>
    <col min="8" max="8" width="14.140625" customWidth="1"/>
    <col min="9" max="9" width="15.7109375" hidden="1" customWidth="1"/>
    <col min="10" max="10" width="14" customWidth="1"/>
    <col min="11" max="11" width="12.28515625" customWidth="1"/>
    <col min="12" max="12" width="8.42578125" customWidth="1"/>
    <col min="13" max="13" width="10.28515625" customWidth="1"/>
    <col min="14" max="14" width="11.42578125" customWidth="1"/>
    <col min="15" max="15" width="14" customWidth="1"/>
    <col min="16" max="16" width="12.7109375" customWidth="1"/>
    <col min="17" max="17" width="12.140625" customWidth="1"/>
    <col min="18" max="18" width="12.7109375" customWidth="1"/>
    <col min="19" max="19" width="15" hidden="1" customWidth="1"/>
    <col min="20" max="20" width="12.28515625" customWidth="1"/>
    <col min="21" max="21" width="13.7109375" hidden="1" customWidth="1"/>
    <col min="22" max="22" width="18.28515625" hidden="1" customWidth="1"/>
    <col min="23" max="24" width="2.42578125" hidden="1" customWidth="1"/>
    <col min="25" max="25" width="10.85546875" customWidth="1"/>
    <col min="29" max="29" width="15.85546875" customWidth="1"/>
  </cols>
  <sheetData>
    <row r="5" spans="1:25" ht="15.95" thickBot="1"/>
    <row r="6" spans="1:25" ht="48.95" thickBot="1">
      <c r="A6" s="38" t="s">
        <v>0</v>
      </c>
      <c r="B6" s="39" t="s">
        <v>1</v>
      </c>
      <c r="C6" s="39" t="s">
        <v>2</v>
      </c>
      <c r="D6" s="39" t="s">
        <v>3</v>
      </c>
      <c r="E6" s="39" t="s">
        <v>4</v>
      </c>
      <c r="F6" s="39" t="s">
        <v>5</v>
      </c>
      <c r="G6" s="39" t="s">
        <v>6</v>
      </c>
      <c r="H6" s="40" t="s">
        <v>7</v>
      </c>
      <c r="I6" s="70" t="s">
        <v>8</v>
      </c>
      <c r="J6" s="38" t="s">
        <v>9</v>
      </c>
      <c r="K6" s="44" t="s">
        <v>10</v>
      </c>
      <c r="L6" s="44" t="s">
        <v>11</v>
      </c>
      <c r="M6" s="39" t="s">
        <v>12</v>
      </c>
      <c r="N6" s="39" t="s">
        <v>13</v>
      </c>
      <c r="O6" s="39" t="s">
        <v>14</v>
      </c>
      <c r="P6" s="39" t="s">
        <v>15</v>
      </c>
      <c r="Q6" s="39" t="s">
        <v>16</v>
      </c>
      <c r="R6" s="39" t="s">
        <v>17</v>
      </c>
      <c r="S6" s="39" t="s">
        <v>18</v>
      </c>
      <c r="T6" s="40" t="s">
        <v>19</v>
      </c>
      <c r="U6" s="71" t="s">
        <v>20</v>
      </c>
      <c r="V6" s="72" t="s">
        <v>21</v>
      </c>
      <c r="W6" s="41" t="s">
        <v>22</v>
      </c>
      <c r="X6" s="42"/>
      <c r="Y6" s="43" t="s">
        <v>23</v>
      </c>
    </row>
    <row r="7" spans="1:25">
      <c r="A7" s="24" t="s">
        <v>24</v>
      </c>
      <c r="B7" s="17">
        <v>264</v>
      </c>
      <c r="C7" s="17">
        <f>B7*1000</f>
        <v>264000</v>
      </c>
      <c r="D7" s="33">
        <v>94687.551890186543</v>
      </c>
      <c r="E7" s="33">
        <v>0</v>
      </c>
      <c r="F7" s="33">
        <v>0</v>
      </c>
      <c r="G7" s="33">
        <v>0</v>
      </c>
      <c r="H7" s="34">
        <v>15085.714285714288</v>
      </c>
      <c r="I7">
        <f t="shared" ref="I7:I26" si="0">SUMPRODUCT(D7:H7, N$31:R$31)</f>
        <v>2715428.5714285718</v>
      </c>
      <c r="J7" s="17">
        <f t="shared" ref="J7:J26" si="1">(SUMPRODUCT(D7:H7, N$31:R$31)*0.35)/3.6</f>
        <v>264000</v>
      </c>
      <c r="K7" s="17">
        <f t="shared" ref="K7:K26" si="2">($R$31*H7*0.35)/3.6</f>
        <v>26400</v>
      </c>
      <c r="L7" s="30">
        <f>VLOOKUP(A7,F29:G49,2,FALSE)</f>
        <v>36</v>
      </c>
      <c r="M7" s="17">
        <f>L7*J7</f>
        <v>9504000</v>
      </c>
      <c r="N7" s="17">
        <f t="shared" ref="N7:N26" si="3">45*($R$31*H7*0.35)/3.6</f>
        <v>1188000</v>
      </c>
      <c r="O7" s="17">
        <f t="shared" ref="O7:O26" si="4">SUMPRODUCT(D7:H7, N$31:R$31)*0.35*0.65/3.6</f>
        <v>171600.00000000003</v>
      </c>
      <c r="P7" s="17">
        <f t="shared" ref="P7:P26" si="5">SUMPRODUCT(D7:H7, N$30:R$30)</f>
        <v>5142775.3513034824</v>
      </c>
      <c r="Q7" s="17">
        <f>J7*0.8*0.87*15</f>
        <v>2756160</v>
      </c>
      <c r="R7" s="17">
        <f>IFERROR(M7+N7-O7-P7-Q7,0)</f>
        <v>2621464.6486965176</v>
      </c>
      <c r="S7" s="17">
        <f t="shared" ref="S7:S26" si="6">H7*$R$31</f>
        <v>271542.85714285716</v>
      </c>
      <c r="T7" s="17">
        <f t="shared" ref="T7:T26" si="7">SUMPRODUCT(D7:H7, N$32:R$32)*0.01</f>
        <v>1308.1967875131456</v>
      </c>
      <c r="U7">
        <f>IFERROR(S7/I7,0)</f>
        <v>9.9999999999999992E-2</v>
      </c>
      <c r="V7">
        <f>0.1*I7</f>
        <v>271542.85714285722</v>
      </c>
      <c r="W7">
        <f t="shared" ref="W7:W27" si="8">SUMPRODUCT($N$31:$Q$31,D7:G7)</f>
        <v>2443885.7142857146</v>
      </c>
      <c r="Y7" s="16">
        <f>K7-0.1*J7</f>
        <v>0</v>
      </c>
    </row>
    <row r="8" spans="1:25">
      <c r="A8" s="26" t="s">
        <v>25</v>
      </c>
      <c r="B8" s="16">
        <v>264</v>
      </c>
      <c r="C8" s="17">
        <f t="shared" ref="C8:C26" si="9">B8*1000</f>
        <v>264000</v>
      </c>
      <c r="D8" s="35">
        <v>0</v>
      </c>
      <c r="E8" s="35">
        <v>0</v>
      </c>
      <c r="F8" s="35">
        <v>0</v>
      </c>
      <c r="G8" s="35">
        <v>0</v>
      </c>
      <c r="H8" s="36">
        <v>0</v>
      </c>
      <c r="I8">
        <f t="shared" si="0"/>
        <v>0</v>
      </c>
      <c r="J8" s="17">
        <f t="shared" si="1"/>
        <v>0</v>
      </c>
      <c r="K8" s="16">
        <f t="shared" si="2"/>
        <v>0</v>
      </c>
      <c r="L8" s="30">
        <f t="shared" ref="L8:L26" si="10">VLOOKUP(A8,F30:G51,2,FALSE)</f>
        <v>27</v>
      </c>
      <c r="M8" s="17">
        <f t="shared" ref="M8:M26" si="11">L8*J8</f>
        <v>0</v>
      </c>
      <c r="N8" s="16">
        <f t="shared" si="3"/>
        <v>0</v>
      </c>
      <c r="O8" s="16">
        <f t="shared" si="4"/>
        <v>0</v>
      </c>
      <c r="P8" s="16">
        <f t="shared" si="5"/>
        <v>0</v>
      </c>
      <c r="Q8" s="17">
        <f t="shared" ref="Q8:Q25" si="12">J8*0.8*0.87*15</f>
        <v>0</v>
      </c>
      <c r="R8" s="16">
        <f t="shared" ref="R8:R26" si="13">IFERROR(M8+N8-O8-P8-Q8,0)</f>
        <v>0</v>
      </c>
      <c r="S8" s="16">
        <f t="shared" si="6"/>
        <v>0</v>
      </c>
      <c r="T8" s="16">
        <f t="shared" si="7"/>
        <v>0</v>
      </c>
      <c r="U8">
        <f t="shared" ref="U8:U26" si="14">IFERROR(S8/I8,0)</f>
        <v>0</v>
      </c>
      <c r="V8">
        <f t="shared" ref="V8:V26" si="15">0.1*I8</f>
        <v>0</v>
      </c>
      <c r="W8">
        <f t="shared" si="8"/>
        <v>0</v>
      </c>
      <c r="Y8" s="16">
        <f t="shared" ref="Y8:Y26" si="16">K8-0.1*J8</f>
        <v>0</v>
      </c>
    </row>
    <row r="9" spans="1:25">
      <c r="A9" s="26" t="s">
        <v>26</v>
      </c>
      <c r="B9" s="16">
        <v>96</v>
      </c>
      <c r="C9" s="17">
        <f t="shared" si="9"/>
        <v>96000</v>
      </c>
      <c r="D9" s="35">
        <v>34431.83705097693</v>
      </c>
      <c r="E9" s="35">
        <v>0</v>
      </c>
      <c r="F9" s="35">
        <v>0</v>
      </c>
      <c r="G9" s="35">
        <v>0</v>
      </c>
      <c r="H9" s="36">
        <v>5485.7142857142871</v>
      </c>
      <c r="I9">
        <f t="shared" si="0"/>
        <v>987428.57142857171</v>
      </c>
      <c r="J9" s="17">
        <f t="shared" si="1"/>
        <v>96000.000000000015</v>
      </c>
      <c r="K9" s="16">
        <f t="shared" si="2"/>
        <v>9600.0000000000018</v>
      </c>
      <c r="L9" s="30">
        <f t="shared" si="10"/>
        <v>33.5</v>
      </c>
      <c r="M9" s="17">
        <f t="shared" si="11"/>
        <v>3216000.0000000005</v>
      </c>
      <c r="N9" s="16">
        <f t="shared" si="3"/>
        <v>432000.00000000006</v>
      </c>
      <c r="O9" s="16">
        <f t="shared" si="4"/>
        <v>62400.000000000015</v>
      </c>
      <c r="P9" s="16">
        <f t="shared" si="5"/>
        <v>1870100.1277467213</v>
      </c>
      <c r="Q9" s="17">
        <f t="shared" si="12"/>
        <v>1002240.0000000002</v>
      </c>
      <c r="R9" s="16">
        <f t="shared" si="13"/>
        <v>713259.87225327897</v>
      </c>
      <c r="S9" s="16">
        <f t="shared" si="6"/>
        <v>98742.857142857174</v>
      </c>
      <c r="T9" s="16">
        <f t="shared" si="7"/>
        <v>475.70792273205308</v>
      </c>
      <c r="U9">
        <f t="shared" si="14"/>
        <v>0.1</v>
      </c>
      <c r="V9">
        <f t="shared" si="15"/>
        <v>98742.857142857174</v>
      </c>
      <c r="W9">
        <f t="shared" si="8"/>
        <v>888685.71428571455</v>
      </c>
      <c r="Y9" s="16">
        <f t="shared" si="16"/>
        <v>0</v>
      </c>
    </row>
    <row r="10" spans="1:25">
      <c r="A10" s="26" t="s">
        <v>27</v>
      </c>
      <c r="B10" s="16">
        <v>96</v>
      </c>
      <c r="C10" s="17">
        <f t="shared" si="9"/>
        <v>96000</v>
      </c>
      <c r="D10" s="35">
        <v>0</v>
      </c>
      <c r="E10" s="35">
        <v>0</v>
      </c>
      <c r="F10" s="35">
        <v>0</v>
      </c>
      <c r="G10" s="35">
        <v>0</v>
      </c>
      <c r="H10" s="36">
        <v>0</v>
      </c>
      <c r="I10">
        <f t="shared" si="0"/>
        <v>0</v>
      </c>
      <c r="J10" s="17">
        <f t="shared" si="1"/>
        <v>0</v>
      </c>
      <c r="K10" s="16">
        <f t="shared" si="2"/>
        <v>0</v>
      </c>
      <c r="L10" s="30">
        <f t="shared" si="10"/>
        <v>26.2</v>
      </c>
      <c r="M10" s="17">
        <f t="shared" si="11"/>
        <v>0</v>
      </c>
      <c r="N10" s="16">
        <f t="shared" si="3"/>
        <v>0</v>
      </c>
      <c r="O10" s="16">
        <f t="shared" si="4"/>
        <v>0</v>
      </c>
      <c r="P10" s="16">
        <f t="shared" si="5"/>
        <v>0</v>
      </c>
      <c r="Q10" s="17">
        <f t="shared" si="12"/>
        <v>0</v>
      </c>
      <c r="R10" s="16">
        <f t="shared" si="13"/>
        <v>0</v>
      </c>
      <c r="S10" s="16">
        <f t="shared" si="6"/>
        <v>0</v>
      </c>
      <c r="T10" s="16">
        <f t="shared" si="7"/>
        <v>0</v>
      </c>
      <c r="U10">
        <f t="shared" si="14"/>
        <v>0</v>
      </c>
      <c r="V10">
        <f t="shared" si="15"/>
        <v>0</v>
      </c>
      <c r="W10">
        <f t="shared" si="8"/>
        <v>0</v>
      </c>
      <c r="Y10" s="16">
        <f t="shared" si="16"/>
        <v>0</v>
      </c>
    </row>
    <row r="11" spans="1:25">
      <c r="A11" s="26" t="s">
        <v>28</v>
      </c>
      <c r="B11" s="16">
        <v>264</v>
      </c>
      <c r="C11" s="17">
        <f t="shared" si="9"/>
        <v>264000</v>
      </c>
      <c r="D11" s="35">
        <v>94687.551890186543</v>
      </c>
      <c r="E11" s="35">
        <v>0</v>
      </c>
      <c r="F11" s="35">
        <v>0</v>
      </c>
      <c r="G11" s="35">
        <v>0</v>
      </c>
      <c r="H11" s="36">
        <v>15085.714285714288</v>
      </c>
      <c r="I11">
        <f t="shared" si="0"/>
        <v>2715428.5714285718</v>
      </c>
      <c r="J11" s="17">
        <f t="shared" si="1"/>
        <v>264000</v>
      </c>
      <c r="K11" s="16">
        <f t="shared" si="2"/>
        <v>26400</v>
      </c>
      <c r="L11" s="30">
        <f t="shared" si="10"/>
        <v>36.35</v>
      </c>
      <c r="M11" s="17">
        <f t="shared" si="11"/>
        <v>9596400</v>
      </c>
      <c r="N11" s="16">
        <f t="shared" si="3"/>
        <v>1188000</v>
      </c>
      <c r="O11" s="16">
        <f t="shared" si="4"/>
        <v>171600.00000000003</v>
      </c>
      <c r="P11" s="16">
        <f t="shared" si="5"/>
        <v>5142775.3513034824</v>
      </c>
      <c r="Q11" s="17">
        <f t="shared" si="12"/>
        <v>2756160</v>
      </c>
      <c r="R11" s="16">
        <f t="shared" si="13"/>
        <v>2713864.6486965176</v>
      </c>
      <c r="S11" s="16">
        <f t="shared" si="6"/>
        <v>271542.85714285716</v>
      </c>
      <c r="T11" s="16">
        <f t="shared" si="7"/>
        <v>1308.1967875131456</v>
      </c>
      <c r="U11">
        <f t="shared" si="14"/>
        <v>9.9999999999999992E-2</v>
      </c>
      <c r="V11">
        <f t="shared" si="15"/>
        <v>271542.85714285722</v>
      </c>
      <c r="W11">
        <f t="shared" si="8"/>
        <v>2443885.7142857146</v>
      </c>
      <c r="Y11" s="16">
        <f t="shared" si="16"/>
        <v>0</v>
      </c>
    </row>
    <row r="12" spans="1:25">
      <c r="A12" s="26" t="s">
        <v>29</v>
      </c>
      <c r="B12" s="16">
        <v>264</v>
      </c>
      <c r="C12" s="17">
        <f t="shared" si="9"/>
        <v>264000</v>
      </c>
      <c r="D12" s="35">
        <v>70610.505341229742</v>
      </c>
      <c r="E12" s="35">
        <v>0</v>
      </c>
      <c r="F12" s="35">
        <v>0</v>
      </c>
      <c r="G12" s="35">
        <v>0</v>
      </c>
      <c r="H12" s="36">
        <v>11249.73544973543</v>
      </c>
      <c r="I12">
        <f t="shared" si="0"/>
        <v>2024952.3809523771</v>
      </c>
      <c r="J12" s="17">
        <f t="shared" si="1"/>
        <v>196870.37037036999</v>
      </c>
      <c r="K12" s="16">
        <f t="shared" si="2"/>
        <v>19687.037037037</v>
      </c>
      <c r="L12" s="30">
        <f t="shared" si="10"/>
        <v>27</v>
      </c>
      <c r="M12" s="17">
        <f t="shared" si="11"/>
        <v>5315499.9999999898</v>
      </c>
      <c r="N12" s="16">
        <f t="shared" si="3"/>
        <v>885916.666666665</v>
      </c>
      <c r="O12" s="16">
        <f t="shared" si="4"/>
        <v>127965.7407407405</v>
      </c>
      <c r="P12" s="16">
        <f t="shared" si="5"/>
        <v>3835076.0914497208</v>
      </c>
      <c r="Q12" s="17">
        <f t="shared" si="12"/>
        <v>2055326.6666666628</v>
      </c>
      <c r="R12" s="16">
        <f t="shared" si="13"/>
        <v>183048.16780953063</v>
      </c>
      <c r="S12" s="16">
        <f t="shared" si="6"/>
        <v>202495.23809523773</v>
      </c>
      <c r="T12" s="16">
        <f t="shared" si="7"/>
        <v>975.54994725394386</v>
      </c>
      <c r="U12">
        <f t="shared" si="14"/>
        <v>0.1</v>
      </c>
      <c r="V12">
        <f t="shared" si="15"/>
        <v>202495.23809523773</v>
      </c>
      <c r="W12">
        <f t="shared" si="8"/>
        <v>1822457.1428571395</v>
      </c>
      <c r="Y12" s="16">
        <f t="shared" si="16"/>
        <v>0</v>
      </c>
    </row>
    <row r="13" spans="1:25">
      <c r="A13" s="26" t="s">
        <v>30</v>
      </c>
      <c r="B13" s="16">
        <v>108</v>
      </c>
      <c r="C13" s="17">
        <f t="shared" si="9"/>
        <v>108000</v>
      </c>
      <c r="D13" s="35">
        <v>38735.816682349046</v>
      </c>
      <c r="E13" s="35">
        <v>0</v>
      </c>
      <c r="F13" s="35">
        <v>0</v>
      </c>
      <c r="G13" s="35">
        <v>0</v>
      </c>
      <c r="H13" s="36">
        <v>6171.4285714285734</v>
      </c>
      <c r="I13">
        <f t="shared" si="0"/>
        <v>1110857.1428571432</v>
      </c>
      <c r="J13" s="17">
        <f t="shared" si="1"/>
        <v>108000.00000000003</v>
      </c>
      <c r="K13" s="16">
        <f t="shared" si="2"/>
        <v>10800.000000000002</v>
      </c>
      <c r="L13" s="30">
        <f t="shared" si="10"/>
        <v>34.299999999999997</v>
      </c>
      <c r="M13" s="17">
        <f t="shared" si="11"/>
        <v>3704400.0000000005</v>
      </c>
      <c r="N13" s="16">
        <f t="shared" si="3"/>
        <v>486000.00000000006</v>
      </c>
      <c r="O13" s="16">
        <f t="shared" si="4"/>
        <v>70200.000000000029</v>
      </c>
      <c r="P13" s="16">
        <f t="shared" si="5"/>
        <v>2103862.6437150612</v>
      </c>
      <c r="Q13" s="17">
        <f t="shared" si="12"/>
        <v>1127520.0000000005</v>
      </c>
      <c r="R13" s="16">
        <f t="shared" si="13"/>
        <v>888817.35628493875</v>
      </c>
      <c r="S13" s="16">
        <f t="shared" si="6"/>
        <v>111085.71428571432</v>
      </c>
      <c r="T13" s="16">
        <f t="shared" si="7"/>
        <v>535.17141307355962</v>
      </c>
      <c r="U13">
        <f t="shared" si="14"/>
        <v>0.1</v>
      </c>
      <c r="V13">
        <f t="shared" si="15"/>
        <v>111085.71428571432</v>
      </c>
      <c r="W13">
        <f t="shared" si="8"/>
        <v>999771.42857142887</v>
      </c>
      <c r="Y13" s="16">
        <f t="shared" si="16"/>
        <v>0</v>
      </c>
    </row>
    <row r="14" spans="1:25">
      <c r="A14" s="26" t="s">
        <v>31</v>
      </c>
      <c r="B14" s="16">
        <v>108</v>
      </c>
      <c r="C14" s="17">
        <f t="shared" si="9"/>
        <v>108000</v>
      </c>
      <c r="D14" s="35">
        <v>0</v>
      </c>
      <c r="E14" s="35">
        <v>0</v>
      </c>
      <c r="F14" s="35">
        <v>0</v>
      </c>
      <c r="G14" s="35">
        <v>0</v>
      </c>
      <c r="H14" s="36">
        <v>0</v>
      </c>
      <c r="I14">
        <f t="shared" si="0"/>
        <v>0</v>
      </c>
      <c r="J14" s="17">
        <f t="shared" si="1"/>
        <v>0</v>
      </c>
      <c r="K14" s="16">
        <f t="shared" si="2"/>
        <v>0</v>
      </c>
      <c r="L14" s="30">
        <f t="shared" si="10"/>
        <v>26.3</v>
      </c>
      <c r="M14" s="17">
        <f t="shared" si="11"/>
        <v>0</v>
      </c>
      <c r="N14" s="16">
        <f t="shared" si="3"/>
        <v>0</v>
      </c>
      <c r="O14" s="16">
        <f t="shared" si="4"/>
        <v>0</v>
      </c>
      <c r="P14" s="16">
        <f t="shared" si="5"/>
        <v>0</v>
      </c>
      <c r="Q14" s="17">
        <f t="shared" si="12"/>
        <v>0</v>
      </c>
      <c r="R14" s="16">
        <f t="shared" si="13"/>
        <v>0</v>
      </c>
      <c r="S14" s="16">
        <f t="shared" si="6"/>
        <v>0</v>
      </c>
      <c r="T14" s="16">
        <f t="shared" si="7"/>
        <v>0</v>
      </c>
      <c r="U14">
        <f t="shared" si="14"/>
        <v>0</v>
      </c>
      <c r="V14">
        <f t="shared" si="15"/>
        <v>0</v>
      </c>
      <c r="W14">
        <f t="shared" si="8"/>
        <v>0</v>
      </c>
      <c r="Y14" s="16">
        <f t="shared" si="16"/>
        <v>0</v>
      </c>
    </row>
    <row r="15" spans="1:25">
      <c r="A15" s="26" t="s">
        <v>32</v>
      </c>
      <c r="B15" s="16">
        <v>264</v>
      </c>
      <c r="C15" s="17">
        <f t="shared" si="9"/>
        <v>264000</v>
      </c>
      <c r="D15" s="35">
        <v>94687.551890186543</v>
      </c>
      <c r="E15" s="35">
        <v>0</v>
      </c>
      <c r="F15" s="35">
        <v>0</v>
      </c>
      <c r="G15" s="35">
        <v>0</v>
      </c>
      <c r="H15" s="36">
        <v>15085.714285714288</v>
      </c>
      <c r="I15">
        <f t="shared" si="0"/>
        <v>2715428.5714285718</v>
      </c>
      <c r="J15" s="17">
        <f t="shared" si="1"/>
        <v>264000</v>
      </c>
      <c r="K15" s="16">
        <f t="shared" si="2"/>
        <v>26400</v>
      </c>
      <c r="L15" s="30">
        <f t="shared" si="10"/>
        <v>37.65</v>
      </c>
      <c r="M15" s="17">
        <f t="shared" si="11"/>
        <v>9939600</v>
      </c>
      <c r="N15" s="16">
        <f t="shared" si="3"/>
        <v>1188000</v>
      </c>
      <c r="O15" s="16">
        <f t="shared" si="4"/>
        <v>171600.00000000003</v>
      </c>
      <c r="P15" s="16">
        <f t="shared" si="5"/>
        <v>5142775.3513034824</v>
      </c>
      <c r="Q15" s="17">
        <f t="shared" si="12"/>
        <v>2756160</v>
      </c>
      <c r="R15" s="16">
        <f t="shared" si="13"/>
        <v>3057064.6486965176</v>
      </c>
      <c r="S15" s="16">
        <f t="shared" si="6"/>
        <v>271542.85714285716</v>
      </c>
      <c r="T15" s="16">
        <f t="shared" si="7"/>
        <v>1308.1967875131456</v>
      </c>
      <c r="U15">
        <f t="shared" si="14"/>
        <v>9.9999999999999992E-2</v>
      </c>
      <c r="V15">
        <f t="shared" si="15"/>
        <v>271542.85714285722</v>
      </c>
      <c r="W15">
        <f t="shared" si="8"/>
        <v>2443885.7142857146</v>
      </c>
      <c r="Y15" s="16">
        <f t="shared" si="16"/>
        <v>0</v>
      </c>
    </row>
    <row r="16" spans="1:25">
      <c r="A16" s="26" t="s">
        <v>33</v>
      </c>
      <c r="B16" s="16">
        <v>264</v>
      </c>
      <c r="C16" s="17">
        <f t="shared" si="9"/>
        <v>264000</v>
      </c>
      <c r="D16" s="35">
        <v>94687.551890186543</v>
      </c>
      <c r="E16" s="35">
        <v>0</v>
      </c>
      <c r="F16" s="35">
        <v>0</v>
      </c>
      <c r="G16" s="35">
        <v>0</v>
      </c>
      <c r="H16" s="36">
        <v>15085.714285714288</v>
      </c>
      <c r="I16">
        <f t="shared" si="0"/>
        <v>2715428.5714285718</v>
      </c>
      <c r="J16" s="17">
        <f t="shared" si="1"/>
        <v>264000</v>
      </c>
      <c r="K16" s="16">
        <f t="shared" si="2"/>
        <v>26400</v>
      </c>
      <c r="L16" s="30">
        <f t="shared" si="10"/>
        <v>28.2</v>
      </c>
      <c r="M16" s="17">
        <f t="shared" si="11"/>
        <v>7444800</v>
      </c>
      <c r="N16" s="16">
        <f t="shared" si="3"/>
        <v>1188000</v>
      </c>
      <c r="O16" s="16">
        <f t="shared" si="4"/>
        <v>171600.00000000003</v>
      </c>
      <c r="P16" s="16">
        <f t="shared" si="5"/>
        <v>5142775.3513034824</v>
      </c>
      <c r="Q16" s="17">
        <f t="shared" si="12"/>
        <v>2756160</v>
      </c>
      <c r="R16" s="16">
        <f t="shared" si="13"/>
        <v>562264.64869651757</v>
      </c>
      <c r="S16" s="16">
        <f t="shared" si="6"/>
        <v>271542.85714285716</v>
      </c>
      <c r="T16" s="16">
        <f t="shared" si="7"/>
        <v>1308.1967875131456</v>
      </c>
      <c r="U16">
        <f t="shared" si="14"/>
        <v>9.9999999999999992E-2</v>
      </c>
      <c r="V16">
        <f t="shared" si="15"/>
        <v>271542.85714285722</v>
      </c>
      <c r="W16">
        <f t="shared" si="8"/>
        <v>2443885.7142857146</v>
      </c>
      <c r="Y16" s="16">
        <f t="shared" si="16"/>
        <v>0</v>
      </c>
    </row>
    <row r="17" spans="1:25">
      <c r="A17" s="26" t="s">
        <v>34</v>
      </c>
      <c r="B17" s="16">
        <v>108</v>
      </c>
      <c r="C17" s="17">
        <f t="shared" si="9"/>
        <v>108000</v>
      </c>
      <c r="D17" s="35">
        <v>38735.816682349046</v>
      </c>
      <c r="E17" s="35">
        <v>0</v>
      </c>
      <c r="F17" s="35">
        <v>0</v>
      </c>
      <c r="G17" s="35">
        <v>0</v>
      </c>
      <c r="H17" s="36">
        <v>6171.4285714285734</v>
      </c>
      <c r="I17">
        <f t="shared" si="0"/>
        <v>1110857.1428571432</v>
      </c>
      <c r="J17" s="17">
        <f t="shared" si="1"/>
        <v>108000.00000000003</v>
      </c>
      <c r="K17" s="16">
        <f t="shared" si="2"/>
        <v>10800.000000000002</v>
      </c>
      <c r="L17" s="30">
        <f t="shared" si="10"/>
        <v>35.65</v>
      </c>
      <c r="M17" s="17">
        <f t="shared" si="11"/>
        <v>3850200.0000000009</v>
      </c>
      <c r="N17" s="16">
        <f t="shared" si="3"/>
        <v>486000.00000000006</v>
      </c>
      <c r="O17" s="16">
        <f t="shared" si="4"/>
        <v>70200.000000000029</v>
      </c>
      <c r="P17" s="16">
        <f t="shared" si="5"/>
        <v>2103862.6437150612</v>
      </c>
      <c r="Q17" s="17">
        <f t="shared" si="12"/>
        <v>1127520.0000000005</v>
      </c>
      <c r="R17" s="16">
        <f t="shared" si="13"/>
        <v>1034617.3562849392</v>
      </c>
      <c r="S17" s="16">
        <f t="shared" si="6"/>
        <v>111085.71428571432</v>
      </c>
      <c r="T17" s="16">
        <f t="shared" si="7"/>
        <v>535.17141307355962</v>
      </c>
      <c r="U17">
        <f t="shared" si="14"/>
        <v>0.1</v>
      </c>
      <c r="V17">
        <f t="shared" si="15"/>
        <v>111085.71428571432</v>
      </c>
      <c r="W17">
        <f t="shared" si="8"/>
        <v>999771.42857142887</v>
      </c>
      <c r="Y17" s="16">
        <f t="shared" si="16"/>
        <v>0</v>
      </c>
    </row>
    <row r="18" spans="1:25">
      <c r="A18" s="26" t="s">
        <v>35</v>
      </c>
      <c r="B18" s="16">
        <v>108</v>
      </c>
      <c r="C18" s="17">
        <f t="shared" si="9"/>
        <v>108000</v>
      </c>
      <c r="D18" s="35">
        <v>38735.816682349046</v>
      </c>
      <c r="E18" s="35">
        <v>0</v>
      </c>
      <c r="F18" s="35">
        <v>0</v>
      </c>
      <c r="G18" s="35">
        <v>0</v>
      </c>
      <c r="H18" s="36">
        <v>6171.4285714285734</v>
      </c>
      <c r="I18">
        <f t="shared" si="0"/>
        <v>1110857.1428571432</v>
      </c>
      <c r="J18" s="17">
        <f t="shared" si="1"/>
        <v>108000.00000000003</v>
      </c>
      <c r="K18" s="16">
        <f t="shared" si="2"/>
        <v>10800.000000000002</v>
      </c>
      <c r="L18" s="30">
        <f t="shared" si="10"/>
        <v>27.5</v>
      </c>
      <c r="M18" s="17">
        <f t="shared" si="11"/>
        <v>2970000.0000000009</v>
      </c>
      <c r="N18" s="16">
        <f t="shared" si="3"/>
        <v>486000.00000000006</v>
      </c>
      <c r="O18" s="16">
        <f t="shared" si="4"/>
        <v>70200.000000000029</v>
      </c>
      <c r="P18" s="16">
        <f t="shared" si="5"/>
        <v>2103862.6437150612</v>
      </c>
      <c r="Q18" s="17">
        <f t="shared" si="12"/>
        <v>1127520.0000000005</v>
      </c>
      <c r="R18" s="16">
        <f t="shared" si="13"/>
        <v>154417.35628493922</v>
      </c>
      <c r="S18" s="16">
        <f t="shared" si="6"/>
        <v>111085.71428571432</v>
      </c>
      <c r="T18" s="16">
        <f t="shared" si="7"/>
        <v>535.17141307355962</v>
      </c>
      <c r="U18">
        <f t="shared" si="14"/>
        <v>0.1</v>
      </c>
      <c r="V18">
        <f t="shared" si="15"/>
        <v>111085.71428571432</v>
      </c>
      <c r="W18">
        <f t="shared" si="8"/>
        <v>999771.42857142887</v>
      </c>
      <c r="Y18" s="16">
        <f t="shared" si="16"/>
        <v>0</v>
      </c>
    </row>
    <row r="19" spans="1:25">
      <c r="A19" s="26" t="s">
        <v>36</v>
      </c>
      <c r="B19" s="16">
        <v>264</v>
      </c>
      <c r="C19" s="17">
        <f t="shared" si="9"/>
        <v>264000</v>
      </c>
      <c r="D19" s="35">
        <v>0</v>
      </c>
      <c r="E19" s="35">
        <v>0</v>
      </c>
      <c r="F19" s="35">
        <v>0</v>
      </c>
      <c r="G19" s="35">
        <v>93278.080697927988</v>
      </c>
      <c r="H19" s="36">
        <v>15085.71428571429</v>
      </c>
      <c r="I19">
        <f t="shared" si="0"/>
        <v>2715428.5714285704</v>
      </c>
      <c r="J19" s="17">
        <f t="shared" si="1"/>
        <v>263999.99999999988</v>
      </c>
      <c r="K19" s="16">
        <f t="shared" si="2"/>
        <v>26400.000000000004</v>
      </c>
      <c r="L19" s="30">
        <f t="shared" si="10"/>
        <v>38.35</v>
      </c>
      <c r="M19" s="17">
        <f t="shared" si="11"/>
        <v>10124399.999999996</v>
      </c>
      <c r="N19" s="16">
        <f t="shared" si="3"/>
        <v>1188000.0000000002</v>
      </c>
      <c r="O19" s="16">
        <f t="shared" si="4"/>
        <v>171599.99999999994</v>
      </c>
      <c r="P19" s="16">
        <f t="shared" si="5"/>
        <v>5030552.5321701188</v>
      </c>
      <c r="Q19" s="17">
        <f t="shared" si="12"/>
        <v>2756159.9999999986</v>
      </c>
      <c r="R19" s="16">
        <f t="shared" si="13"/>
        <v>3354087.4678298789</v>
      </c>
      <c r="S19" s="16">
        <f t="shared" si="6"/>
        <v>271542.85714285722</v>
      </c>
      <c r="T19" s="16">
        <f t="shared" si="7"/>
        <v>1605.8915594329328</v>
      </c>
      <c r="U19">
        <f t="shared" si="14"/>
        <v>0.10000000000000006</v>
      </c>
      <c r="V19">
        <f t="shared" si="15"/>
        <v>271542.85714285704</v>
      </c>
      <c r="W19">
        <f t="shared" si="8"/>
        <v>2443885.7142857132</v>
      </c>
      <c r="Y19" s="16">
        <f t="shared" si="16"/>
        <v>0</v>
      </c>
    </row>
    <row r="20" spans="1:25">
      <c r="A20" s="26" t="s">
        <v>37</v>
      </c>
      <c r="B20" s="16">
        <v>264</v>
      </c>
      <c r="C20" s="17">
        <f t="shared" si="9"/>
        <v>264000</v>
      </c>
      <c r="D20" s="35">
        <v>0</v>
      </c>
      <c r="E20" s="35">
        <v>0</v>
      </c>
      <c r="F20" s="35">
        <v>0</v>
      </c>
      <c r="G20" s="35">
        <v>93278.080697927988</v>
      </c>
      <c r="H20" s="36">
        <v>15085.71428571429</v>
      </c>
      <c r="I20">
        <f t="shared" si="0"/>
        <v>2715428.5714285704</v>
      </c>
      <c r="J20" s="17">
        <f t="shared" si="1"/>
        <v>263999.99999999988</v>
      </c>
      <c r="K20" s="16">
        <f t="shared" si="2"/>
        <v>26400.000000000004</v>
      </c>
      <c r="L20" s="30">
        <f t="shared" si="10"/>
        <v>28.5</v>
      </c>
      <c r="M20" s="17">
        <f t="shared" si="11"/>
        <v>7523999.9999999963</v>
      </c>
      <c r="N20" s="16">
        <f t="shared" si="3"/>
        <v>1188000.0000000002</v>
      </c>
      <c r="O20" s="16">
        <f t="shared" si="4"/>
        <v>171599.99999999994</v>
      </c>
      <c r="P20" s="16">
        <f t="shared" si="5"/>
        <v>5030552.5321701188</v>
      </c>
      <c r="Q20" s="17">
        <f t="shared" si="12"/>
        <v>2756159.9999999986</v>
      </c>
      <c r="R20" s="16">
        <f t="shared" si="13"/>
        <v>753687.46782987891</v>
      </c>
      <c r="S20" s="16">
        <f t="shared" si="6"/>
        <v>271542.85714285722</v>
      </c>
      <c r="T20" s="16">
        <f t="shared" si="7"/>
        <v>1605.8915594329328</v>
      </c>
      <c r="U20">
        <f t="shared" si="14"/>
        <v>0.10000000000000006</v>
      </c>
      <c r="V20">
        <f t="shared" si="15"/>
        <v>271542.85714285704</v>
      </c>
      <c r="W20">
        <f t="shared" si="8"/>
        <v>2443885.7142857132</v>
      </c>
      <c r="Y20" s="16">
        <f t="shared" si="16"/>
        <v>0</v>
      </c>
    </row>
    <row r="21" spans="1:25">
      <c r="A21" s="26" t="s">
        <v>38</v>
      </c>
      <c r="B21" s="16">
        <v>96</v>
      </c>
      <c r="C21" s="17">
        <f t="shared" si="9"/>
        <v>96000</v>
      </c>
      <c r="D21" s="35">
        <v>0</v>
      </c>
      <c r="E21" s="35">
        <v>0</v>
      </c>
      <c r="F21" s="35">
        <v>0</v>
      </c>
      <c r="G21" s="35">
        <v>33919.302071973812</v>
      </c>
      <c r="H21" s="36">
        <v>5485.7142857142871</v>
      </c>
      <c r="I21">
        <f t="shared" si="0"/>
        <v>987428.57142857101</v>
      </c>
      <c r="J21" s="17">
        <f t="shared" si="1"/>
        <v>95999.999999999956</v>
      </c>
      <c r="K21" s="16">
        <f t="shared" si="2"/>
        <v>9600.0000000000018</v>
      </c>
      <c r="L21" s="30">
        <f t="shared" si="10"/>
        <v>35.799999999999997</v>
      </c>
      <c r="M21" s="17">
        <f t="shared" si="11"/>
        <v>3436799.9999999981</v>
      </c>
      <c r="N21" s="16">
        <f t="shared" si="3"/>
        <v>432000.00000000006</v>
      </c>
      <c r="O21" s="16">
        <f t="shared" si="4"/>
        <v>62399.999999999964</v>
      </c>
      <c r="P21" s="16">
        <f t="shared" si="5"/>
        <v>1829291.8298800432</v>
      </c>
      <c r="Q21" s="17">
        <f t="shared" si="12"/>
        <v>1002239.9999999995</v>
      </c>
      <c r="R21" s="16">
        <f t="shared" si="13"/>
        <v>974868.17011995544</v>
      </c>
      <c r="S21" s="16">
        <f t="shared" si="6"/>
        <v>98742.857142857174</v>
      </c>
      <c r="T21" s="16">
        <f t="shared" si="7"/>
        <v>583.96056706652109</v>
      </c>
      <c r="U21">
        <f t="shared" si="14"/>
        <v>0.10000000000000007</v>
      </c>
      <c r="V21">
        <f t="shared" si="15"/>
        <v>98742.857142857101</v>
      </c>
      <c r="W21">
        <f t="shared" si="8"/>
        <v>888685.71428571385</v>
      </c>
      <c r="Y21" s="16">
        <f t="shared" si="16"/>
        <v>0</v>
      </c>
    </row>
    <row r="22" spans="1:25">
      <c r="A22" s="26" t="s">
        <v>39</v>
      </c>
      <c r="B22" s="16">
        <v>96</v>
      </c>
      <c r="C22" s="17">
        <f t="shared" si="9"/>
        <v>96000</v>
      </c>
      <c r="D22" s="35">
        <v>0</v>
      </c>
      <c r="E22" s="35">
        <v>0</v>
      </c>
      <c r="F22" s="35">
        <v>0</v>
      </c>
      <c r="G22" s="35">
        <v>33919.302071973812</v>
      </c>
      <c r="H22" s="36">
        <v>5485.7142857142871</v>
      </c>
      <c r="I22">
        <f t="shared" si="0"/>
        <v>987428.57142857101</v>
      </c>
      <c r="J22" s="17">
        <f t="shared" si="1"/>
        <v>95999.999999999956</v>
      </c>
      <c r="K22" s="16">
        <f t="shared" si="2"/>
        <v>9600.0000000000018</v>
      </c>
      <c r="L22" s="30">
        <f t="shared" si="10"/>
        <v>27.65</v>
      </c>
      <c r="M22" s="17">
        <f t="shared" si="11"/>
        <v>2654399.9999999986</v>
      </c>
      <c r="N22" s="16">
        <f t="shared" si="3"/>
        <v>432000.00000000006</v>
      </c>
      <c r="O22" s="16">
        <f t="shared" si="4"/>
        <v>62399.999999999964</v>
      </c>
      <c r="P22" s="16">
        <f t="shared" si="5"/>
        <v>1829291.8298800432</v>
      </c>
      <c r="Q22" s="17">
        <f t="shared" si="12"/>
        <v>1002239.9999999995</v>
      </c>
      <c r="R22" s="16">
        <f t="shared" si="13"/>
        <v>192468.1701199559</v>
      </c>
      <c r="S22" s="16">
        <f t="shared" si="6"/>
        <v>98742.857142857174</v>
      </c>
      <c r="T22" s="16">
        <f t="shared" si="7"/>
        <v>583.96056706652109</v>
      </c>
      <c r="U22">
        <f t="shared" si="14"/>
        <v>0.10000000000000007</v>
      </c>
      <c r="V22">
        <f t="shared" si="15"/>
        <v>98742.857142857101</v>
      </c>
      <c r="W22">
        <f t="shared" si="8"/>
        <v>888685.71428571385</v>
      </c>
      <c r="Y22" s="16">
        <f t="shared" si="16"/>
        <v>0</v>
      </c>
    </row>
    <row r="23" spans="1:25">
      <c r="A23" s="26" t="s">
        <v>40</v>
      </c>
      <c r="B23" s="16">
        <v>252</v>
      </c>
      <c r="C23" s="17">
        <f t="shared" si="9"/>
        <v>252000</v>
      </c>
      <c r="D23" s="35">
        <v>0</v>
      </c>
      <c r="E23" s="35">
        <v>0</v>
      </c>
      <c r="F23" s="35">
        <v>0</v>
      </c>
      <c r="G23" s="35">
        <v>89038.167938931263</v>
      </c>
      <c r="H23" s="36">
        <v>14400.000000000004</v>
      </c>
      <c r="I23">
        <f t="shared" si="0"/>
        <v>2591999.9999999991</v>
      </c>
      <c r="J23" s="17">
        <f t="shared" si="1"/>
        <v>251999.99999999988</v>
      </c>
      <c r="K23" s="16">
        <f t="shared" si="2"/>
        <v>25200.000000000004</v>
      </c>
      <c r="L23" s="30">
        <f t="shared" si="10"/>
        <v>43.7</v>
      </c>
      <c r="M23" s="17">
        <f t="shared" si="11"/>
        <v>11012399.999999996</v>
      </c>
      <c r="N23" s="16">
        <f t="shared" si="3"/>
        <v>1134000</v>
      </c>
      <c r="O23" s="16">
        <f t="shared" si="4"/>
        <v>163799.99999999994</v>
      </c>
      <c r="P23" s="16">
        <f t="shared" si="5"/>
        <v>4801891.0534351133</v>
      </c>
      <c r="Q23" s="17">
        <f t="shared" si="12"/>
        <v>2630879.9999999986</v>
      </c>
      <c r="R23" s="16">
        <f t="shared" si="13"/>
        <v>4549828.9465648849</v>
      </c>
      <c r="S23" s="16">
        <f t="shared" si="6"/>
        <v>259200.00000000006</v>
      </c>
      <c r="T23" s="16">
        <f t="shared" si="7"/>
        <v>1532.8964885496177</v>
      </c>
      <c r="U23">
        <f t="shared" si="14"/>
        <v>0.10000000000000006</v>
      </c>
      <c r="V23">
        <f t="shared" si="15"/>
        <v>259199.99999999991</v>
      </c>
      <c r="W23">
        <f t="shared" si="8"/>
        <v>2332799.9999999991</v>
      </c>
      <c r="Y23" s="16">
        <f t="shared" si="16"/>
        <v>0</v>
      </c>
    </row>
    <row r="24" spans="1:25">
      <c r="A24" s="26" t="s">
        <v>41</v>
      </c>
      <c r="B24" s="16">
        <v>252</v>
      </c>
      <c r="C24" s="17">
        <f t="shared" si="9"/>
        <v>252000</v>
      </c>
      <c r="D24" s="35">
        <v>0</v>
      </c>
      <c r="E24" s="35">
        <v>0</v>
      </c>
      <c r="F24" s="35">
        <v>0</v>
      </c>
      <c r="G24" s="35">
        <v>89038.167938931263</v>
      </c>
      <c r="H24" s="36">
        <v>14400.000000000004</v>
      </c>
      <c r="I24">
        <f t="shared" si="0"/>
        <v>2591999.9999999991</v>
      </c>
      <c r="J24" s="17">
        <f t="shared" si="1"/>
        <v>251999.99999999988</v>
      </c>
      <c r="K24" s="16">
        <f t="shared" si="2"/>
        <v>25200.000000000004</v>
      </c>
      <c r="L24" s="30">
        <f t="shared" si="10"/>
        <v>31.7</v>
      </c>
      <c r="M24" s="17">
        <f t="shared" si="11"/>
        <v>7988399.9999999963</v>
      </c>
      <c r="N24" s="16">
        <f t="shared" si="3"/>
        <v>1134000</v>
      </c>
      <c r="O24" s="16">
        <f t="shared" si="4"/>
        <v>163799.99999999994</v>
      </c>
      <c r="P24" s="16">
        <f t="shared" si="5"/>
        <v>4801891.0534351133</v>
      </c>
      <c r="Q24" s="17">
        <f t="shared" si="12"/>
        <v>2630879.9999999986</v>
      </c>
      <c r="R24" s="16">
        <f t="shared" si="13"/>
        <v>1525828.9465648844</v>
      </c>
      <c r="S24" s="16">
        <f t="shared" si="6"/>
        <v>259200.00000000006</v>
      </c>
      <c r="T24" s="16">
        <f t="shared" si="7"/>
        <v>1532.8964885496177</v>
      </c>
      <c r="U24">
        <f t="shared" si="14"/>
        <v>0.10000000000000006</v>
      </c>
      <c r="V24">
        <f t="shared" si="15"/>
        <v>259199.99999999991</v>
      </c>
      <c r="W24">
        <f t="shared" si="8"/>
        <v>2332799.9999999991</v>
      </c>
      <c r="Y24" s="16">
        <f t="shared" si="16"/>
        <v>0</v>
      </c>
    </row>
    <row r="25" spans="1:25">
      <c r="A25" s="26" t="s">
        <v>42</v>
      </c>
      <c r="B25" s="16">
        <v>120</v>
      </c>
      <c r="C25" s="17">
        <f t="shared" si="9"/>
        <v>120000</v>
      </c>
      <c r="D25" s="35">
        <v>0</v>
      </c>
      <c r="E25" s="35">
        <v>0</v>
      </c>
      <c r="F25" s="35">
        <v>0</v>
      </c>
      <c r="G25" s="35">
        <v>42399.127589967262</v>
      </c>
      <c r="H25" s="36">
        <v>6857.1428571428587</v>
      </c>
      <c r="I25">
        <f t="shared" si="0"/>
        <v>1234285.7142857136</v>
      </c>
      <c r="J25" s="17">
        <f t="shared" si="1"/>
        <v>119999.99999999993</v>
      </c>
      <c r="K25" s="16">
        <f t="shared" si="2"/>
        <v>12000.000000000002</v>
      </c>
      <c r="L25" s="30">
        <f t="shared" si="10"/>
        <v>38.700000000000003</v>
      </c>
      <c r="M25" s="17">
        <f t="shared" si="11"/>
        <v>4643999.9999999972</v>
      </c>
      <c r="N25" s="16">
        <f t="shared" si="3"/>
        <v>540000</v>
      </c>
      <c r="O25" s="16">
        <f t="shared" si="4"/>
        <v>77999.999999999971</v>
      </c>
      <c r="P25" s="16">
        <f t="shared" si="5"/>
        <v>2286614.7873500539</v>
      </c>
      <c r="Q25" s="17">
        <f t="shared" si="12"/>
        <v>1252799.9999999991</v>
      </c>
      <c r="R25" s="16">
        <f t="shared" si="13"/>
        <v>1566585.2126499442</v>
      </c>
      <c r="S25" s="16">
        <f t="shared" si="6"/>
        <v>123428.57142857145</v>
      </c>
      <c r="T25" s="16">
        <f t="shared" si="7"/>
        <v>729.95070883315134</v>
      </c>
      <c r="U25">
        <f t="shared" si="14"/>
        <v>0.10000000000000007</v>
      </c>
      <c r="V25">
        <f t="shared" si="15"/>
        <v>123428.57142857136</v>
      </c>
      <c r="W25">
        <f t="shared" si="8"/>
        <v>1110857.1428571423</v>
      </c>
      <c r="Y25" s="16">
        <f t="shared" si="16"/>
        <v>0</v>
      </c>
    </row>
    <row r="26" spans="1:25" ht="15.95" thickBot="1">
      <c r="A26" s="73" t="s">
        <v>43</v>
      </c>
      <c r="B26" s="74">
        <v>120</v>
      </c>
      <c r="C26" s="17">
        <f t="shared" si="9"/>
        <v>120000</v>
      </c>
      <c r="D26" s="75">
        <v>0</v>
      </c>
      <c r="E26" s="75">
        <v>0</v>
      </c>
      <c r="F26" s="75">
        <v>0</v>
      </c>
      <c r="G26" s="75">
        <v>42399.127589967262</v>
      </c>
      <c r="H26" s="76">
        <v>6857.1428571428587</v>
      </c>
      <c r="I26">
        <f t="shared" si="0"/>
        <v>1234285.7142857136</v>
      </c>
      <c r="J26" s="17">
        <f t="shared" si="1"/>
        <v>119999.99999999993</v>
      </c>
      <c r="K26" s="74">
        <f t="shared" si="2"/>
        <v>12000.000000000002</v>
      </c>
      <c r="L26" s="30">
        <f t="shared" si="10"/>
        <v>30.1</v>
      </c>
      <c r="M26" s="17">
        <f t="shared" si="11"/>
        <v>3611999.9999999981</v>
      </c>
      <c r="N26" s="74">
        <f t="shared" si="3"/>
        <v>540000</v>
      </c>
      <c r="O26" s="74">
        <f t="shared" si="4"/>
        <v>77999.999999999971</v>
      </c>
      <c r="P26" s="74">
        <f t="shared" si="5"/>
        <v>2286614.7873500539</v>
      </c>
      <c r="Q26" s="17">
        <f>J26*0.8*0.87*15</f>
        <v>1252799.9999999991</v>
      </c>
      <c r="R26" s="74">
        <f t="shared" si="13"/>
        <v>534585.21264994517</v>
      </c>
      <c r="S26" s="74">
        <f t="shared" si="6"/>
        <v>123428.57142857145</v>
      </c>
      <c r="T26" s="74">
        <f t="shared" si="7"/>
        <v>729.95070883315134</v>
      </c>
      <c r="U26">
        <f t="shared" si="14"/>
        <v>0.10000000000000007</v>
      </c>
      <c r="V26">
        <f t="shared" si="15"/>
        <v>123428.57142857136</v>
      </c>
      <c r="W26">
        <f t="shared" si="8"/>
        <v>1110857.1428571423</v>
      </c>
      <c r="Y26" s="16">
        <f t="shared" si="16"/>
        <v>0</v>
      </c>
    </row>
    <row r="27" spans="1:25" ht="15.95" thickBot="1">
      <c r="A27" s="31" t="s">
        <v>44</v>
      </c>
      <c r="B27" s="31"/>
      <c r="C27" s="31">
        <f>SUM(C7:C26)</f>
        <v>3672000</v>
      </c>
      <c r="D27" s="31">
        <f>SUM(D7:D26)</f>
        <v>600000.00000000012</v>
      </c>
      <c r="E27" s="31">
        <f t="shared" ref="E27:H27" si="17">SUM(E7:E26)</f>
        <v>0</v>
      </c>
      <c r="F27" s="31">
        <f t="shared" si="17"/>
        <v>0</v>
      </c>
      <c r="G27" s="31">
        <f t="shared" si="17"/>
        <v>517269.35659760068</v>
      </c>
      <c r="H27" s="31">
        <f t="shared" si="17"/>
        <v>179249.73544973548</v>
      </c>
      <c r="I27" s="31"/>
      <c r="J27" s="31">
        <f>SUM(J7:J26)</f>
        <v>3136870.3703703699</v>
      </c>
      <c r="K27" s="31">
        <f t="shared" ref="K27:T27" si="18">SUM(K7:K26)</f>
        <v>313687.03703703702</v>
      </c>
      <c r="L27" s="31">
        <f t="shared" si="18"/>
        <v>650.15000000000009</v>
      </c>
      <c r="M27" s="31">
        <f t="shared" si="18"/>
        <v>106537299.99999999</v>
      </c>
      <c r="N27" s="31">
        <f t="shared" si="18"/>
        <v>14115916.666666666</v>
      </c>
      <c r="O27" s="31">
        <f t="shared" si="18"/>
        <v>2038965.7407407407</v>
      </c>
      <c r="P27" s="31">
        <f t="shared" si="18"/>
        <v>60484565.96122621</v>
      </c>
      <c r="Q27" s="31">
        <f t="shared" si="18"/>
        <v>32748926.666666664</v>
      </c>
      <c r="R27" s="66">
        <f>SUM(R7:R26)-T27*50</f>
        <v>24521010.402681835</v>
      </c>
      <c r="S27" s="31">
        <f t="shared" si="18"/>
        <v>3226495.2380952383</v>
      </c>
      <c r="T27" s="55">
        <f t="shared" si="18"/>
        <v>17194.957907023705</v>
      </c>
      <c r="V27">
        <f>SUM(V7:V26)</f>
        <v>3226495.2380952379</v>
      </c>
      <c r="W27">
        <f t="shared" si="8"/>
        <v>29038457.142857142</v>
      </c>
      <c r="Y27" s="32"/>
    </row>
    <row r="28" spans="1:25" ht="15.95" thickBot="1">
      <c r="L28" s="67"/>
      <c r="M28" s="67"/>
      <c r="N28" s="67"/>
      <c r="O28" s="67"/>
      <c r="P28" s="67"/>
    </row>
    <row r="29" spans="1:25" ht="15.95" thickBot="1">
      <c r="F29" s="37" t="s">
        <v>45</v>
      </c>
      <c r="G29" s="37" t="s">
        <v>46</v>
      </c>
      <c r="J29" s="31" t="s">
        <v>47</v>
      </c>
      <c r="K29" s="31" t="s">
        <v>48</v>
      </c>
      <c r="L29" s="11"/>
      <c r="M29" s="31" t="s">
        <v>49</v>
      </c>
      <c r="N29" s="31" t="s">
        <v>50</v>
      </c>
      <c r="O29" s="31" t="s">
        <v>51</v>
      </c>
      <c r="P29" s="31" t="s">
        <v>52</v>
      </c>
      <c r="Q29" s="31" t="s">
        <v>53</v>
      </c>
      <c r="R29" s="31" t="s">
        <v>54</v>
      </c>
    </row>
    <row r="30" spans="1:25">
      <c r="F30" s="16" t="s">
        <v>24</v>
      </c>
      <c r="G30" s="16">
        <v>36</v>
      </c>
      <c r="J30" s="16" t="s">
        <v>55</v>
      </c>
      <c r="K30" s="16">
        <v>0.35</v>
      </c>
      <c r="M30" s="77" t="s">
        <v>56</v>
      </c>
      <c r="N30" s="16">
        <v>42.56</v>
      </c>
      <c r="O30" s="16">
        <v>43.93</v>
      </c>
      <c r="P30" s="16">
        <v>43.8</v>
      </c>
      <c r="Q30" s="16">
        <v>42</v>
      </c>
      <c r="R30" s="16">
        <v>73.77</v>
      </c>
    </row>
    <row r="31" spans="1:25">
      <c r="F31" s="16" t="s">
        <v>25</v>
      </c>
      <c r="G31" s="16">
        <v>27</v>
      </c>
      <c r="J31" s="16" t="s">
        <v>57</v>
      </c>
      <c r="K31" s="16">
        <v>1000</v>
      </c>
      <c r="M31" s="77" t="s">
        <v>58</v>
      </c>
      <c r="N31" s="16">
        <v>25.81</v>
      </c>
      <c r="O31" s="16">
        <v>25.12</v>
      </c>
      <c r="P31" s="16">
        <v>24.5</v>
      </c>
      <c r="Q31" s="16">
        <v>26.2</v>
      </c>
      <c r="R31" s="16">
        <v>18</v>
      </c>
    </row>
    <row r="32" spans="1:25">
      <c r="F32" s="16" t="s">
        <v>26</v>
      </c>
      <c r="G32" s="16">
        <v>33.5</v>
      </c>
      <c r="J32" s="16" t="s">
        <v>59</v>
      </c>
      <c r="K32" s="16">
        <v>0.65</v>
      </c>
      <c r="M32" s="77" t="s">
        <v>60</v>
      </c>
      <c r="N32" s="16">
        <v>1.38</v>
      </c>
      <c r="O32" s="16">
        <v>0.7</v>
      </c>
      <c r="P32" s="16">
        <v>0.35</v>
      </c>
      <c r="Q32" s="16">
        <v>1.72</v>
      </c>
      <c r="R32" s="16">
        <v>0.01</v>
      </c>
    </row>
    <row r="33" spans="6:34">
      <c r="F33" s="16" t="s">
        <v>27</v>
      </c>
      <c r="G33" s="16">
        <v>26.2</v>
      </c>
      <c r="J33" s="16" t="s">
        <v>61</v>
      </c>
      <c r="K33" s="16">
        <v>0.8</v>
      </c>
      <c r="W33" s="9"/>
    </row>
    <row r="34" spans="6:34">
      <c r="F34" s="16" t="s">
        <v>28</v>
      </c>
      <c r="G34" s="16">
        <v>36.35</v>
      </c>
      <c r="J34" s="16" t="s">
        <v>62</v>
      </c>
      <c r="K34" s="16">
        <v>15</v>
      </c>
      <c r="W34" s="9"/>
    </row>
    <row r="35" spans="6:34">
      <c r="F35" s="16" t="s">
        <v>29</v>
      </c>
      <c r="G35" s="16">
        <v>27</v>
      </c>
      <c r="J35" s="16" t="s">
        <v>63</v>
      </c>
      <c r="K35" s="16">
        <v>0.87</v>
      </c>
      <c r="W35" s="9"/>
    </row>
    <row r="36" spans="6:34">
      <c r="F36" s="16" t="s">
        <v>30</v>
      </c>
      <c r="G36" s="16">
        <v>34.299999999999997</v>
      </c>
      <c r="J36" s="16" t="s">
        <v>64</v>
      </c>
      <c r="K36" s="16">
        <v>45</v>
      </c>
      <c r="W36" s="9"/>
    </row>
    <row r="37" spans="6:34">
      <c r="F37" s="16" t="s">
        <v>31</v>
      </c>
      <c r="G37" s="16">
        <v>26.3</v>
      </c>
      <c r="J37" s="16" t="s">
        <v>65</v>
      </c>
      <c r="K37" s="16">
        <v>9000</v>
      </c>
      <c r="W37" s="9"/>
    </row>
    <row r="38" spans="6:34">
      <c r="F38" s="16" t="s">
        <v>32</v>
      </c>
      <c r="G38" s="16">
        <v>37.65</v>
      </c>
      <c r="J38" s="16" t="s">
        <v>66</v>
      </c>
      <c r="K38" s="16">
        <v>600000</v>
      </c>
    </row>
    <row r="39" spans="6:34">
      <c r="F39" s="16" t="s">
        <v>33</v>
      </c>
      <c r="G39" s="16">
        <v>28.2</v>
      </c>
      <c r="J39" s="16" t="s">
        <v>67</v>
      </c>
      <c r="K39" s="16">
        <v>0.1</v>
      </c>
    </row>
    <row r="40" spans="6:34">
      <c r="F40" s="16" t="s">
        <v>34</v>
      </c>
      <c r="G40" s="16">
        <v>35.65</v>
      </c>
      <c r="J40" s="16" t="s">
        <v>68</v>
      </c>
      <c r="K40" s="16">
        <v>12</v>
      </c>
      <c r="O40" s="13"/>
    </row>
    <row r="41" spans="6:34">
      <c r="F41" s="16" t="s">
        <v>35</v>
      </c>
      <c r="G41" s="16">
        <v>27.5</v>
      </c>
      <c r="J41" s="16" t="s">
        <v>69</v>
      </c>
      <c r="K41" s="16">
        <v>12</v>
      </c>
      <c r="O41" s="13"/>
    </row>
    <row r="42" spans="6:34">
      <c r="F42" s="16" t="s">
        <v>36</v>
      </c>
      <c r="G42" s="16">
        <v>38.35</v>
      </c>
      <c r="J42" s="16" t="s">
        <v>70</v>
      </c>
      <c r="K42" s="16">
        <v>0</v>
      </c>
      <c r="O42" s="13"/>
      <c r="AC42" s="28"/>
    </row>
    <row r="43" spans="6:34">
      <c r="F43" s="16" t="s">
        <v>37</v>
      </c>
      <c r="G43" s="16">
        <v>28.5</v>
      </c>
      <c r="J43" s="16" t="s">
        <v>71</v>
      </c>
      <c r="K43" s="16">
        <v>0</v>
      </c>
      <c r="O43" s="13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spans="6:34">
      <c r="F44" s="16" t="s">
        <v>38</v>
      </c>
      <c r="G44" s="16">
        <v>35.799999999999997</v>
      </c>
      <c r="J44" s="16" t="s">
        <v>72</v>
      </c>
      <c r="K44" s="16">
        <v>0</v>
      </c>
      <c r="O44" s="13"/>
    </row>
    <row r="45" spans="6:34">
      <c r="F45" s="16" t="s">
        <v>39</v>
      </c>
      <c r="G45" s="16">
        <v>27.65</v>
      </c>
    </row>
    <row r="46" spans="6:34">
      <c r="F46" s="16" t="s">
        <v>40</v>
      </c>
      <c r="G46" s="16">
        <v>43.7</v>
      </c>
    </row>
    <row r="47" spans="6:34">
      <c r="F47" s="16" t="s">
        <v>41</v>
      </c>
      <c r="G47" s="16">
        <v>31.7</v>
      </c>
    </row>
    <row r="48" spans="6:34">
      <c r="F48" s="16" t="s">
        <v>42</v>
      </c>
      <c r="G48" s="16">
        <v>38.700000000000003</v>
      </c>
    </row>
    <row r="49" spans="6:7">
      <c r="F49" s="16" t="s">
        <v>43</v>
      </c>
      <c r="G49" s="16">
        <v>30.1</v>
      </c>
    </row>
  </sheetData>
  <mergeCells count="1">
    <mergeCell ref="L28:P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CEA0-1D6A-4215-97BC-9C5357FF10B4}">
  <dimension ref="A1:X115"/>
  <sheetViews>
    <sheetView topLeftCell="A25" workbookViewId="0">
      <selection activeCell="J46" sqref="J46"/>
    </sheetView>
  </sheetViews>
  <sheetFormatPr defaultColWidth="11.42578125" defaultRowHeight="14.25"/>
  <cols>
    <col min="1" max="1" width="22.28515625" bestFit="1" customWidth="1"/>
    <col min="2" max="5" width="9.140625" bestFit="1" customWidth="1"/>
    <col min="6" max="6" width="11.7109375" bestFit="1" customWidth="1"/>
    <col min="7" max="8" width="9.140625" bestFit="1" customWidth="1"/>
    <col min="9" max="9" width="25" bestFit="1" customWidth="1"/>
    <col min="10" max="10" width="13" bestFit="1" customWidth="1"/>
    <col min="11" max="11" width="27.7109375" bestFit="1" customWidth="1"/>
    <col min="12" max="12" width="19.7109375" bestFit="1" customWidth="1"/>
  </cols>
  <sheetData>
    <row r="1" spans="1:8" ht="24">
      <c r="A1" s="68" t="s">
        <v>477</v>
      </c>
      <c r="B1" s="68"/>
      <c r="C1" s="68"/>
      <c r="D1" s="68"/>
      <c r="E1" s="68"/>
    </row>
    <row r="4" spans="1:8" ht="15.95">
      <c r="A4" s="56" t="s">
        <v>478</v>
      </c>
      <c r="G4" s="56" t="s">
        <v>479</v>
      </c>
    </row>
    <row r="5" spans="1:8" ht="15">
      <c r="A5" t="s">
        <v>480</v>
      </c>
      <c r="B5" t="s">
        <v>481</v>
      </c>
      <c r="C5" t="s">
        <v>482</v>
      </c>
      <c r="D5" t="s">
        <v>483</v>
      </c>
      <c r="E5" t="s">
        <v>484</v>
      </c>
      <c r="F5" t="s">
        <v>485</v>
      </c>
      <c r="G5" t="s">
        <v>486</v>
      </c>
    </row>
    <row r="6" spans="1:8" ht="15.95">
      <c r="A6" t="s">
        <v>487</v>
      </c>
      <c r="B6">
        <v>93306.543021617355</v>
      </c>
      <c r="C6">
        <v>0</v>
      </c>
      <c r="D6">
        <v>0</v>
      </c>
      <c r="E6">
        <v>0</v>
      </c>
      <c r="F6">
        <v>14865.690588814467</v>
      </c>
      <c r="G6">
        <f>12*22</f>
        <v>264</v>
      </c>
      <c r="H6" s="56" t="s">
        <v>488</v>
      </c>
    </row>
    <row r="7" spans="1:8" ht="15">
      <c r="A7" t="s">
        <v>489</v>
      </c>
      <c r="B7">
        <v>0</v>
      </c>
      <c r="C7">
        <v>0</v>
      </c>
      <c r="D7">
        <v>0</v>
      </c>
      <c r="E7">
        <v>0</v>
      </c>
      <c r="F7">
        <v>0</v>
      </c>
      <c r="G7">
        <f>12*22</f>
        <v>264</v>
      </c>
    </row>
    <row r="8" spans="1:8" ht="15">
      <c r="A8" t="s">
        <v>490</v>
      </c>
      <c r="B8">
        <v>37699.606664780353</v>
      </c>
      <c r="C8">
        <v>0</v>
      </c>
      <c r="D8">
        <v>0</v>
      </c>
      <c r="E8">
        <v>0</v>
      </c>
      <c r="F8">
        <v>0</v>
      </c>
      <c r="G8">
        <f>12*8</f>
        <v>96</v>
      </c>
    </row>
    <row r="9" spans="1:8" ht="15">
      <c r="A9" t="s">
        <v>491</v>
      </c>
      <c r="B9">
        <v>0</v>
      </c>
      <c r="C9">
        <v>0</v>
      </c>
      <c r="D9">
        <v>0</v>
      </c>
      <c r="E9">
        <v>0</v>
      </c>
      <c r="F9">
        <v>0</v>
      </c>
      <c r="G9">
        <f>12*8</f>
        <v>96</v>
      </c>
    </row>
    <row r="10" spans="1:8" ht="15.95">
      <c r="A10" t="s">
        <v>492</v>
      </c>
      <c r="B10">
        <v>103723.41143517026</v>
      </c>
      <c r="C10">
        <v>0</v>
      </c>
      <c r="D10">
        <v>0</v>
      </c>
      <c r="E10">
        <v>0</v>
      </c>
      <c r="F10">
        <v>0</v>
      </c>
      <c r="G10">
        <f>22*12</f>
        <v>264</v>
      </c>
      <c r="H10" s="56" t="s">
        <v>493</v>
      </c>
    </row>
    <row r="11" spans="1:8" ht="15">
      <c r="A11" t="s">
        <v>494</v>
      </c>
      <c r="B11">
        <v>0</v>
      </c>
      <c r="C11">
        <v>0</v>
      </c>
      <c r="D11">
        <v>0</v>
      </c>
      <c r="E11">
        <v>0</v>
      </c>
      <c r="F11">
        <v>0</v>
      </c>
      <c r="G11">
        <f>12*22</f>
        <v>264</v>
      </c>
    </row>
    <row r="12" spans="1:8" ht="15">
      <c r="A12" t="s">
        <v>495</v>
      </c>
      <c r="B12">
        <v>42432.3046780242</v>
      </c>
      <c r="C12">
        <v>0</v>
      </c>
      <c r="D12">
        <v>0</v>
      </c>
      <c r="E12">
        <v>0</v>
      </c>
      <c r="F12">
        <v>0</v>
      </c>
      <c r="G12">
        <f>12*9</f>
        <v>108</v>
      </c>
    </row>
    <row r="13" spans="1:8" ht="15">
      <c r="A13" t="s">
        <v>496</v>
      </c>
      <c r="B13">
        <v>0</v>
      </c>
      <c r="C13">
        <v>0</v>
      </c>
      <c r="D13">
        <v>0</v>
      </c>
      <c r="E13">
        <v>0</v>
      </c>
      <c r="F13">
        <v>0</v>
      </c>
      <c r="G13">
        <f>12*9</f>
        <v>108</v>
      </c>
    </row>
    <row r="14" spans="1:8" ht="15.95">
      <c r="A14" t="s">
        <v>497</v>
      </c>
      <c r="B14">
        <v>103723.41143517026</v>
      </c>
      <c r="C14">
        <v>0</v>
      </c>
      <c r="D14">
        <v>0</v>
      </c>
      <c r="E14">
        <v>0</v>
      </c>
      <c r="F14">
        <v>0</v>
      </c>
      <c r="G14">
        <f>12*22</f>
        <v>264</v>
      </c>
      <c r="H14" s="56" t="s">
        <v>498</v>
      </c>
    </row>
    <row r="15" spans="1:8" ht="15">
      <c r="A15" t="s">
        <v>499</v>
      </c>
      <c r="B15">
        <v>103723.41143517026</v>
      </c>
      <c r="C15">
        <v>0</v>
      </c>
      <c r="D15">
        <v>0</v>
      </c>
      <c r="E15">
        <v>0</v>
      </c>
      <c r="F15">
        <v>0</v>
      </c>
      <c r="G15">
        <f>12*22</f>
        <v>264</v>
      </c>
    </row>
    <row r="16" spans="1:8" ht="15">
      <c r="A16" t="s">
        <v>500</v>
      </c>
      <c r="B16">
        <v>42432.3046780242</v>
      </c>
      <c r="C16">
        <v>0</v>
      </c>
      <c r="D16">
        <v>0</v>
      </c>
      <c r="E16">
        <v>0</v>
      </c>
      <c r="F16">
        <v>0</v>
      </c>
      <c r="G16">
        <f>12*9</f>
        <v>108</v>
      </c>
    </row>
    <row r="17" spans="1:8" ht="15">
      <c r="A17" t="s">
        <v>501</v>
      </c>
      <c r="B17">
        <v>0</v>
      </c>
      <c r="C17">
        <v>0</v>
      </c>
      <c r="D17">
        <v>0</v>
      </c>
      <c r="E17">
        <v>0</v>
      </c>
      <c r="F17">
        <v>0</v>
      </c>
      <c r="G17">
        <f>12*9</f>
        <v>108</v>
      </c>
    </row>
    <row r="18" spans="1:8" ht="15.95">
      <c r="A18" t="s">
        <v>502</v>
      </c>
      <c r="B18">
        <v>0</v>
      </c>
      <c r="C18">
        <v>0</v>
      </c>
      <c r="D18">
        <v>0</v>
      </c>
      <c r="E18">
        <v>102130.95060497329</v>
      </c>
      <c r="F18">
        <v>0</v>
      </c>
      <c r="G18">
        <f>12*22</f>
        <v>264</v>
      </c>
      <c r="H18" s="56" t="s">
        <v>503</v>
      </c>
    </row>
    <row r="19" spans="1:8" ht="15">
      <c r="A19" t="s">
        <v>504</v>
      </c>
      <c r="B19">
        <v>0</v>
      </c>
      <c r="C19">
        <v>0</v>
      </c>
      <c r="D19">
        <v>0</v>
      </c>
      <c r="E19">
        <v>102130.95060497329</v>
      </c>
      <c r="F19">
        <v>0</v>
      </c>
      <c r="G19">
        <f>12*22</f>
        <v>264</v>
      </c>
    </row>
    <row r="20" spans="1:8" ht="15">
      <c r="A20" t="s">
        <v>505</v>
      </c>
      <c r="B20">
        <v>0</v>
      </c>
      <c r="C20">
        <v>0</v>
      </c>
      <c r="D20">
        <v>0</v>
      </c>
      <c r="E20">
        <v>37138.527492717556</v>
      </c>
      <c r="F20">
        <v>0</v>
      </c>
      <c r="G20">
        <f>12*8</f>
        <v>96</v>
      </c>
    </row>
    <row r="21" spans="1:8" ht="15">
      <c r="A21" t="s">
        <v>506</v>
      </c>
      <c r="B21">
        <v>0</v>
      </c>
      <c r="C21" s="54">
        <v>0</v>
      </c>
      <c r="D21">
        <v>0</v>
      </c>
      <c r="E21">
        <v>37138.527492717556</v>
      </c>
      <c r="F21">
        <v>0</v>
      </c>
      <c r="G21">
        <f>12*8</f>
        <v>96</v>
      </c>
    </row>
    <row r="22" spans="1:8" ht="15.95">
      <c r="A22" t="s">
        <v>507</v>
      </c>
      <c r="B22">
        <v>0</v>
      </c>
      <c r="C22">
        <v>0</v>
      </c>
      <c r="D22">
        <v>0</v>
      </c>
      <c r="E22">
        <v>97535.174970005275</v>
      </c>
      <c r="F22">
        <v>0</v>
      </c>
      <c r="G22">
        <f>21*12</f>
        <v>252</v>
      </c>
      <c r="H22" s="56" t="s">
        <v>508</v>
      </c>
    </row>
    <row r="23" spans="1:8" ht="15">
      <c r="A23" t="s">
        <v>509</v>
      </c>
      <c r="B23">
        <v>0</v>
      </c>
      <c r="C23">
        <v>0</v>
      </c>
      <c r="D23">
        <v>0</v>
      </c>
      <c r="E23">
        <v>97535.174970005275</v>
      </c>
      <c r="F23">
        <v>0</v>
      </c>
      <c r="G23">
        <f>21*12</f>
        <v>252</v>
      </c>
    </row>
    <row r="24" spans="1:8" ht="15">
      <c r="A24" t="s">
        <v>510</v>
      </c>
      <c r="B24">
        <v>0</v>
      </c>
      <c r="C24">
        <v>0</v>
      </c>
      <c r="D24">
        <v>0</v>
      </c>
      <c r="E24">
        <v>46445.321414288228</v>
      </c>
      <c r="F24">
        <v>0</v>
      </c>
      <c r="G24">
        <f>12*10</f>
        <v>120</v>
      </c>
    </row>
    <row r="25" spans="1:8" ht="15">
      <c r="A25" t="s">
        <v>511</v>
      </c>
      <c r="B25">
        <v>0</v>
      </c>
      <c r="C25">
        <v>0</v>
      </c>
      <c r="D25">
        <v>0</v>
      </c>
      <c r="E25">
        <v>46445.321414288228</v>
      </c>
      <c r="F25">
        <v>0</v>
      </c>
      <c r="G25">
        <f>12*10</f>
        <v>120</v>
      </c>
    </row>
    <row r="26" spans="1:8" ht="15.95">
      <c r="A26" s="56" t="s">
        <v>512</v>
      </c>
      <c r="B26">
        <f>SUM(B6:B25)</f>
        <v>527040.99334795692</v>
      </c>
      <c r="C26">
        <f>SUM(C6:C25)</f>
        <v>0</v>
      </c>
      <c r="D26">
        <f>SUM(D6:D25)</f>
        <v>0</v>
      </c>
      <c r="E26">
        <f>SUM(E6:E25)</f>
        <v>566499.94896396878</v>
      </c>
      <c r="F26">
        <f>SUM(F6:F25)</f>
        <v>14865.690588814467</v>
      </c>
    </row>
    <row r="34" spans="1:24" ht="15">
      <c r="R34" s="80" t="s">
        <v>45</v>
      </c>
      <c r="S34" s="80" t="s">
        <v>513</v>
      </c>
      <c r="T34" s="80" t="s">
        <v>514</v>
      </c>
      <c r="U34" s="80" t="s">
        <v>515</v>
      </c>
      <c r="V34" s="80" t="s">
        <v>516</v>
      </c>
      <c r="W34" s="80" t="s">
        <v>517</v>
      </c>
      <c r="X34" s="80" t="s">
        <v>518</v>
      </c>
    </row>
    <row r="35" spans="1:24">
      <c r="R35" t="s">
        <v>519</v>
      </c>
      <c r="S35" t="s">
        <v>520</v>
      </c>
      <c r="T35">
        <v>36</v>
      </c>
      <c r="U35">
        <v>36.35</v>
      </c>
      <c r="V35">
        <v>37.65</v>
      </c>
      <c r="W35">
        <v>38.35</v>
      </c>
      <c r="X35">
        <v>43.7</v>
      </c>
    </row>
    <row r="36" spans="1:24">
      <c r="R36" t="s">
        <v>521</v>
      </c>
      <c r="S36" t="s">
        <v>520</v>
      </c>
      <c r="T36">
        <v>27</v>
      </c>
      <c r="U36">
        <v>27</v>
      </c>
      <c r="V36">
        <v>28.2</v>
      </c>
      <c r="W36">
        <v>28.5</v>
      </c>
      <c r="X36">
        <v>31.7</v>
      </c>
    </row>
    <row r="37" spans="1:24" ht="15">
      <c r="I37" t="s">
        <v>522</v>
      </c>
      <c r="J37" t="s">
        <v>523</v>
      </c>
      <c r="K37" t="s">
        <v>524</v>
      </c>
      <c r="R37" t="s">
        <v>525</v>
      </c>
      <c r="S37" t="s">
        <v>520</v>
      </c>
      <c r="T37">
        <v>33.5</v>
      </c>
      <c r="U37">
        <v>34.299999999999997</v>
      </c>
      <c r="V37">
        <v>35.65</v>
      </c>
      <c r="W37">
        <v>35.799999999999997</v>
      </c>
      <c r="X37">
        <v>38.700000000000003</v>
      </c>
    </row>
    <row r="38" spans="1:24" ht="15.95">
      <c r="A38" s="56" t="s">
        <v>526</v>
      </c>
      <c r="G38" s="56" t="s">
        <v>512</v>
      </c>
      <c r="H38">
        <f>SUMPRODUCT($B$6:$F$25,$B$40:$F$59)</f>
        <v>19740170.481660292</v>
      </c>
      <c r="I38" s="57">
        <v>877240.42099999997</v>
      </c>
      <c r="J38" s="57">
        <f>G92*30</f>
        <v>25527.677099161447</v>
      </c>
      <c r="K38" s="65">
        <f>H38+J38-I38</f>
        <v>18888457.737759452</v>
      </c>
      <c r="L38" t="s">
        <v>527</v>
      </c>
      <c r="R38" t="s">
        <v>528</v>
      </c>
      <c r="S38" t="s">
        <v>520</v>
      </c>
      <c r="T38">
        <v>26.2</v>
      </c>
      <c r="U38">
        <v>26.3</v>
      </c>
      <c r="V38">
        <v>27.5</v>
      </c>
      <c r="W38">
        <v>27.65</v>
      </c>
      <c r="X38">
        <v>30.1</v>
      </c>
    </row>
    <row r="39" spans="1:24" ht="15.95">
      <c r="A39" s="56"/>
      <c r="B39" t="s">
        <v>529</v>
      </c>
      <c r="C39" t="s">
        <v>530</v>
      </c>
      <c r="D39" t="s">
        <v>531</v>
      </c>
      <c r="E39" t="s">
        <v>532</v>
      </c>
      <c r="F39" t="s">
        <v>533</v>
      </c>
      <c r="J39" s="57">
        <f>G92*40</f>
        <v>34036.902798881929</v>
      </c>
      <c r="K39" s="65">
        <f>H38+J39-I38</f>
        <v>18896966.963459175</v>
      </c>
      <c r="L39" t="s">
        <v>534</v>
      </c>
    </row>
    <row r="40" spans="1:24" ht="15.95">
      <c r="A40" t="s">
        <v>535</v>
      </c>
      <c r="B40">
        <v>19.946801388888886</v>
      </c>
      <c r="C40">
        <v>16.905755555555558</v>
      </c>
      <c r="D40">
        <v>15.534236111111113</v>
      </c>
      <c r="E40">
        <v>21.451305555555564</v>
      </c>
      <c r="F40">
        <v>48.572500000000005</v>
      </c>
      <c r="H40" s="56" t="s">
        <v>488</v>
      </c>
      <c r="J40" s="57">
        <f>G92*50</f>
        <v>42546.128498602411</v>
      </c>
      <c r="K40" s="65">
        <f>H38+J40-I38</f>
        <v>18905476.189158894</v>
      </c>
      <c r="L40" t="s">
        <v>536</v>
      </c>
    </row>
    <row r="41" spans="1:24">
      <c r="A41" t="s">
        <v>537</v>
      </c>
      <c r="B41">
        <v>-2.6369486111111158</v>
      </c>
      <c r="C41">
        <v>-5.0742444444444388</v>
      </c>
      <c r="D41">
        <v>-5.9032638888888869</v>
      </c>
      <c r="E41">
        <v>-1.4736944444444404</v>
      </c>
      <c r="F41">
        <v>32.822500000000005</v>
      </c>
    </row>
    <row r="42" spans="1:24">
      <c r="A42" t="s">
        <v>538</v>
      </c>
      <c r="B42">
        <v>13.673537500000002</v>
      </c>
      <c r="C42">
        <v>10.800200000000004</v>
      </c>
      <c r="D42">
        <v>9.579375000000006</v>
      </c>
      <c r="E42">
        <v>15.083250000000007</v>
      </c>
      <c r="F42">
        <v>44.197500000000005</v>
      </c>
      <c r="K42" s="57"/>
    </row>
    <row r="43" spans="1:24">
      <c r="A43" t="s">
        <v>539</v>
      </c>
      <c r="B43">
        <v>-4.644393055555561</v>
      </c>
      <c r="C43">
        <v>-7.0280222222222193</v>
      </c>
      <c r="D43">
        <v>-7.8088194444444454</v>
      </c>
      <c r="E43">
        <v>-3.5114722222222241</v>
      </c>
      <c r="F43">
        <v>31.422499999999999</v>
      </c>
    </row>
    <row r="44" spans="1:24" ht="15.95">
      <c r="A44" t="s">
        <v>540</v>
      </c>
      <c r="B44">
        <v>20.825058333333338</v>
      </c>
      <c r="C44">
        <v>17.760533333333342</v>
      </c>
      <c r="D44">
        <v>16.367916666666673</v>
      </c>
      <c r="E44">
        <v>22.342833333333346</v>
      </c>
      <c r="F44">
        <v>49.185000000000016</v>
      </c>
      <c r="H44" s="56" t="s">
        <v>493</v>
      </c>
    </row>
    <row r="45" spans="1:24">
      <c r="A45" t="s">
        <v>541</v>
      </c>
      <c r="B45">
        <v>-2.6369486111111158</v>
      </c>
      <c r="C45">
        <v>-5.0742444444444388</v>
      </c>
      <c r="D45">
        <v>-5.9032638888888869</v>
      </c>
      <c r="E45">
        <v>-1.4736944444444404</v>
      </c>
      <c r="F45">
        <v>32.822500000000005</v>
      </c>
    </row>
    <row r="46" spans="1:24">
      <c r="A46" t="s">
        <v>542</v>
      </c>
      <c r="B46">
        <v>15.68098194444444</v>
      </c>
      <c r="C46">
        <v>12.753977777777777</v>
      </c>
      <c r="D46">
        <v>11.484930555555557</v>
      </c>
      <c r="E46">
        <v>17.121027777777776</v>
      </c>
      <c r="F46">
        <v>45.597500000000011</v>
      </c>
    </row>
    <row r="47" spans="1:24">
      <c r="A47" t="s">
        <v>543</v>
      </c>
      <c r="B47">
        <v>-4.3934624999999983</v>
      </c>
      <c r="C47">
        <v>-6.7837999999999923</v>
      </c>
      <c r="D47">
        <v>-7.5706249999999926</v>
      </c>
      <c r="E47">
        <v>-3.2567499999999967</v>
      </c>
      <c r="F47">
        <v>31.597500000000011</v>
      </c>
    </row>
    <row r="48" spans="1:24" ht="15.95">
      <c r="A48" t="s">
        <v>544</v>
      </c>
      <c r="B48">
        <v>24.087155555555555</v>
      </c>
      <c r="C48">
        <v>20.935422222222222</v>
      </c>
      <c r="D48">
        <v>19.464444444444446</v>
      </c>
      <c r="E48">
        <v>25.654222222222216</v>
      </c>
      <c r="F48">
        <v>51.460000000000008</v>
      </c>
      <c r="H48" s="56" t="s">
        <v>498</v>
      </c>
    </row>
    <row r="49" spans="1:8">
      <c r="A49" t="s">
        <v>545</v>
      </c>
      <c r="B49">
        <v>0.37421805555554499</v>
      </c>
      <c r="C49">
        <v>-2.1435777777777787</v>
      </c>
      <c r="D49">
        <v>-3.0449305555555597</v>
      </c>
      <c r="E49">
        <v>1.5829722222222173</v>
      </c>
      <c r="F49">
        <v>34.922499999999999</v>
      </c>
    </row>
    <row r="50" spans="1:8">
      <c r="A50" t="s">
        <v>546</v>
      </c>
      <c r="B50">
        <v>19.068544444444441</v>
      </c>
      <c r="C50">
        <v>16.050977777777781</v>
      </c>
      <c r="D50">
        <v>14.70055555555556</v>
      </c>
      <c r="E50">
        <v>20.559777777777782</v>
      </c>
      <c r="F50">
        <v>47.960000000000008</v>
      </c>
    </row>
    <row r="51" spans="1:8">
      <c r="A51" t="s">
        <v>547</v>
      </c>
      <c r="B51">
        <v>-1.3822958333333304</v>
      </c>
      <c r="C51">
        <v>-3.8531333333333251</v>
      </c>
      <c r="D51">
        <v>-4.7122916666666583</v>
      </c>
      <c r="E51">
        <v>-0.20008333333332473</v>
      </c>
      <c r="F51">
        <v>33.697500000000005</v>
      </c>
    </row>
    <row r="52" spans="1:8" ht="15.95">
      <c r="A52" t="s">
        <v>548</v>
      </c>
      <c r="B52">
        <v>25.843669444444444</v>
      </c>
      <c r="C52">
        <v>22.64497777777779</v>
      </c>
      <c r="D52">
        <v>21.131805555555559</v>
      </c>
      <c r="E52">
        <v>27.43727777777778</v>
      </c>
      <c r="F52">
        <v>52.685000000000016</v>
      </c>
      <c r="H52" s="56" t="s">
        <v>503</v>
      </c>
    </row>
    <row r="53" spans="1:8">
      <c r="A53" t="s">
        <v>549</v>
      </c>
      <c r="B53">
        <v>1.1270097222222262</v>
      </c>
      <c r="C53">
        <v>-1.4109111111111048</v>
      </c>
      <c r="D53">
        <v>-2.3303472222222155</v>
      </c>
      <c r="E53">
        <v>2.3471388888888924</v>
      </c>
      <c r="F53">
        <v>35.447500000000005</v>
      </c>
    </row>
    <row r="54" spans="1:8">
      <c r="A54" t="s">
        <v>550</v>
      </c>
      <c r="B54">
        <v>19.444940277777768</v>
      </c>
      <c r="C54">
        <v>16.417311111111111</v>
      </c>
      <c r="D54">
        <v>15.057847222222222</v>
      </c>
      <c r="E54">
        <v>20.941861111111109</v>
      </c>
      <c r="F54">
        <v>48.222500000000011</v>
      </c>
    </row>
    <row r="55" spans="1:8">
      <c r="A55" t="s">
        <v>551</v>
      </c>
      <c r="B55">
        <v>-1.005900000000004</v>
      </c>
      <c r="C55">
        <v>-3.4867999999999952</v>
      </c>
      <c r="D55">
        <v>-4.3549999999999969</v>
      </c>
      <c r="E55">
        <v>0.18200000000000216</v>
      </c>
      <c r="F55">
        <v>33.960000000000008</v>
      </c>
    </row>
    <row r="56" spans="1:8" ht="15.95">
      <c r="A56" t="s">
        <v>552</v>
      </c>
      <c r="B56">
        <v>39.268454166666672</v>
      </c>
      <c r="C56">
        <v>35.710866666666682</v>
      </c>
      <c r="D56">
        <v>33.875208333333347</v>
      </c>
      <c r="E56">
        <v>41.064916666666676</v>
      </c>
      <c r="F56">
        <v>62.047500000000028</v>
      </c>
      <c r="H56" s="56" t="s">
        <v>508</v>
      </c>
    </row>
    <row r="57" spans="1:8">
      <c r="A57" t="s">
        <v>553</v>
      </c>
      <c r="B57">
        <v>9.156787499999993</v>
      </c>
      <c r="C57">
        <v>6.4041999999999959</v>
      </c>
      <c r="D57">
        <v>5.2918749999999974</v>
      </c>
      <c r="E57">
        <v>10.498249999999992</v>
      </c>
      <c r="F57">
        <v>41.047499999999999</v>
      </c>
    </row>
    <row r="58" spans="1:8">
      <c r="A58" t="s">
        <v>554</v>
      </c>
      <c r="B58">
        <v>26.721926388888889</v>
      </c>
      <c r="C58">
        <v>23.499755555555573</v>
      </c>
      <c r="D58">
        <v>21.965486111111119</v>
      </c>
      <c r="E58">
        <v>28.328805555555562</v>
      </c>
      <c r="F58">
        <v>53.297500000000028</v>
      </c>
    </row>
    <row r="59" spans="1:8">
      <c r="A59" t="s">
        <v>555</v>
      </c>
      <c r="B59">
        <v>5.1418986111111167</v>
      </c>
      <c r="C59">
        <v>2.4966444444444562</v>
      </c>
      <c r="D59">
        <v>1.4807638888889016</v>
      </c>
      <c r="E59">
        <v>6.4226944444444527</v>
      </c>
      <c r="F59">
        <v>38.247500000000016</v>
      </c>
    </row>
    <row r="70" spans="1:11" ht="18">
      <c r="A70" s="58" t="s">
        <v>556</v>
      </c>
      <c r="G70" t="s">
        <v>557</v>
      </c>
      <c r="I70" t="s">
        <v>558</v>
      </c>
      <c r="K70" t="s">
        <v>559</v>
      </c>
    </row>
    <row r="72" spans="1:11" ht="15">
      <c r="A72" t="s">
        <v>560</v>
      </c>
      <c r="B72">
        <v>25.81</v>
      </c>
      <c r="C72">
        <v>25.12</v>
      </c>
      <c r="D72">
        <v>24.5</v>
      </c>
      <c r="E72">
        <v>26.2</v>
      </c>
      <c r="F72">
        <v>18</v>
      </c>
      <c r="G72">
        <f>$F$72*$F$26</f>
        <v>267582.43059866037</v>
      </c>
      <c r="H72" t="s">
        <v>561</v>
      </c>
      <c r="I72">
        <f>0.1*SUMPRODUCT($B$72:$F$72,B6:F6)</f>
        <v>267582.43059866043</v>
      </c>
    </row>
    <row r="73" spans="1:11">
      <c r="B73">
        <v>25.81</v>
      </c>
      <c r="C73">
        <v>25.12</v>
      </c>
      <c r="D73">
        <v>24.5</v>
      </c>
      <c r="E73">
        <v>26.2</v>
      </c>
      <c r="F73">
        <v>18</v>
      </c>
      <c r="G73">
        <f>$F$72*F7</f>
        <v>0</v>
      </c>
      <c r="I73">
        <f>0.1*SUMPRODUCT($B$72:$F$72,B7:F7)</f>
        <v>0</v>
      </c>
    </row>
    <row r="74" spans="1:11">
      <c r="B74">
        <v>25.81</v>
      </c>
      <c r="C74">
        <v>25.12</v>
      </c>
      <c r="D74">
        <v>24.5</v>
      </c>
      <c r="E74">
        <v>26.2</v>
      </c>
      <c r="F74">
        <v>18</v>
      </c>
      <c r="G74">
        <f>$F$72*F8</f>
        <v>0</v>
      </c>
      <c r="I74">
        <f>0.1*SUMPRODUCT($B$72:$F$72,B8:F8)</f>
        <v>97302.684801798081</v>
      </c>
    </row>
    <row r="75" spans="1:11">
      <c r="B75">
        <v>25.81</v>
      </c>
      <c r="C75">
        <v>25.12</v>
      </c>
      <c r="D75">
        <v>24.5</v>
      </c>
      <c r="E75">
        <v>26.2</v>
      </c>
      <c r="F75">
        <v>18</v>
      </c>
      <c r="G75">
        <f>$F$72*F9</f>
        <v>0</v>
      </c>
      <c r="I75">
        <f>0.1*SUMPRODUCT($B$72:$F$72,B9:F9)</f>
        <v>0</v>
      </c>
    </row>
    <row r="76" spans="1:11">
      <c r="B76">
        <v>25.81</v>
      </c>
      <c r="C76">
        <v>25.12</v>
      </c>
      <c r="D76">
        <v>24.5</v>
      </c>
      <c r="E76">
        <v>26.2</v>
      </c>
      <c r="F76">
        <v>18</v>
      </c>
      <c r="G76">
        <f>$F$72*F10</f>
        <v>0</v>
      </c>
      <c r="I76">
        <f>0.1*SUMPRODUCT($B$72:$F$72,B10:F10)</f>
        <v>267710.12491417443</v>
      </c>
    </row>
    <row r="77" spans="1:11">
      <c r="B77">
        <v>25.81</v>
      </c>
      <c r="C77">
        <v>25.12</v>
      </c>
      <c r="D77">
        <v>24.5</v>
      </c>
      <c r="E77">
        <v>26.2</v>
      </c>
      <c r="F77">
        <v>18</v>
      </c>
      <c r="G77">
        <f>$F$72*F11</f>
        <v>0</v>
      </c>
      <c r="I77">
        <f>0.1*SUMPRODUCT($B$72:$F$72,B11:F11)</f>
        <v>0</v>
      </c>
    </row>
    <row r="78" spans="1:11">
      <c r="B78">
        <v>25.81</v>
      </c>
      <c r="C78">
        <v>25.12</v>
      </c>
      <c r="D78">
        <v>24.5</v>
      </c>
      <c r="E78">
        <v>26.2</v>
      </c>
      <c r="F78">
        <v>18</v>
      </c>
      <c r="G78">
        <f>$F$72*F12</f>
        <v>0</v>
      </c>
      <c r="I78">
        <f>0.1*SUMPRODUCT($B$72:$F$72,B12:F12)</f>
        <v>109517.77837398046</v>
      </c>
    </row>
    <row r="79" spans="1:11">
      <c r="B79">
        <v>25.81</v>
      </c>
      <c r="C79">
        <v>25.12</v>
      </c>
      <c r="D79">
        <v>24.5</v>
      </c>
      <c r="E79">
        <v>26.2</v>
      </c>
      <c r="F79">
        <v>18</v>
      </c>
      <c r="G79">
        <f>$F$72*F13</f>
        <v>0</v>
      </c>
      <c r="I79">
        <f>0.1*SUMPRODUCT($B$72:$F$72,B13:F13)</f>
        <v>0</v>
      </c>
    </row>
    <row r="80" spans="1:11">
      <c r="B80">
        <v>25.81</v>
      </c>
      <c r="C80">
        <v>25.12</v>
      </c>
      <c r="D80">
        <v>24.5</v>
      </c>
      <c r="E80">
        <v>26.2</v>
      </c>
      <c r="F80">
        <v>18</v>
      </c>
      <c r="G80">
        <f>$F$72*F14</f>
        <v>0</v>
      </c>
      <c r="I80">
        <f>0.1*SUMPRODUCT($B$72:$F$72,B14:F14)</f>
        <v>267710.12491417443</v>
      </c>
    </row>
    <row r="81" spans="1:14">
      <c r="B81">
        <v>25.81</v>
      </c>
      <c r="C81">
        <v>25.12</v>
      </c>
      <c r="D81">
        <v>24.5</v>
      </c>
      <c r="E81">
        <v>26.2</v>
      </c>
      <c r="F81">
        <v>18</v>
      </c>
      <c r="G81">
        <f>$F$72*F15</f>
        <v>0</v>
      </c>
      <c r="I81">
        <f>0.1*SUMPRODUCT($B$72:$F$72,B15:F15)</f>
        <v>267710.12491417443</v>
      </c>
    </row>
    <row r="82" spans="1:14">
      <c r="B82">
        <v>25.81</v>
      </c>
      <c r="C82">
        <v>25.12</v>
      </c>
      <c r="D82">
        <v>24.5</v>
      </c>
      <c r="E82">
        <v>26.2</v>
      </c>
      <c r="F82">
        <v>18</v>
      </c>
      <c r="G82">
        <f>$F$72*F16</f>
        <v>0</v>
      </c>
      <c r="I82">
        <f>0.1*SUMPRODUCT($B$72:$F$72,B16:F16)</f>
        <v>109517.77837398046</v>
      </c>
    </row>
    <row r="83" spans="1:14">
      <c r="B83">
        <v>25.81</v>
      </c>
      <c r="C83">
        <v>25.12</v>
      </c>
      <c r="D83">
        <v>24.5</v>
      </c>
      <c r="E83">
        <v>26.2</v>
      </c>
      <c r="F83">
        <v>18</v>
      </c>
      <c r="G83">
        <f>$F$72*F17</f>
        <v>0</v>
      </c>
      <c r="I83">
        <f>0.1*SUMPRODUCT($B$72:$F$72,B17:F17)</f>
        <v>0</v>
      </c>
    </row>
    <row r="84" spans="1:14">
      <c r="B84">
        <v>25.81</v>
      </c>
      <c r="C84">
        <v>25.12</v>
      </c>
      <c r="D84">
        <v>24.5</v>
      </c>
      <c r="E84">
        <v>26.2</v>
      </c>
      <c r="F84">
        <v>18</v>
      </c>
      <c r="G84">
        <f>$F$72*F18</f>
        <v>0</v>
      </c>
      <c r="I84">
        <f>0.1*SUMPRODUCT($B$72:$F$72,B18:F18)</f>
        <v>267583.09058503003</v>
      </c>
    </row>
    <row r="85" spans="1:14">
      <c r="B85">
        <v>25.81</v>
      </c>
      <c r="C85">
        <v>25.12</v>
      </c>
      <c r="D85">
        <v>24.5</v>
      </c>
      <c r="E85">
        <v>26.2</v>
      </c>
      <c r="F85">
        <v>18</v>
      </c>
      <c r="G85">
        <f>$F$72*F19</f>
        <v>0</v>
      </c>
      <c r="I85">
        <f>0.1*SUMPRODUCT($B$72:$F$72,B19:F19)</f>
        <v>267583.09058503003</v>
      </c>
    </row>
    <row r="86" spans="1:14">
      <c r="B86">
        <v>25.81</v>
      </c>
      <c r="C86">
        <v>25.12</v>
      </c>
      <c r="D86">
        <v>24.5</v>
      </c>
      <c r="E86">
        <v>26.2</v>
      </c>
      <c r="F86">
        <v>18</v>
      </c>
      <c r="G86">
        <f>$F$72*F20</f>
        <v>0</v>
      </c>
      <c r="I86">
        <f>0.1*SUMPRODUCT($B$72:$F$72,B20:F20)</f>
        <v>97302.942030920007</v>
      </c>
    </row>
    <row r="87" spans="1:14">
      <c r="B87">
        <v>25.81</v>
      </c>
      <c r="C87">
        <v>25.12</v>
      </c>
      <c r="D87">
        <v>24.5</v>
      </c>
      <c r="E87">
        <v>26.2</v>
      </c>
      <c r="F87">
        <v>18</v>
      </c>
      <c r="G87">
        <f>$F$72*F21</f>
        <v>0</v>
      </c>
      <c r="I87">
        <f>0.1*SUMPRODUCT($B$72:$F$72,B21:F21)</f>
        <v>97302.942030920007</v>
      </c>
    </row>
    <row r="88" spans="1:14">
      <c r="B88">
        <v>25.81</v>
      </c>
      <c r="C88">
        <v>25.12</v>
      </c>
      <c r="D88">
        <v>24.5</v>
      </c>
      <c r="E88">
        <v>26.2</v>
      </c>
      <c r="F88">
        <v>18</v>
      </c>
      <c r="G88">
        <f>$F$72*F22</f>
        <v>0</v>
      </c>
      <c r="I88">
        <f>0.1*SUMPRODUCT($B$72:$F$72,B22:F22)</f>
        <v>255542.15842141386</v>
      </c>
    </row>
    <row r="89" spans="1:14">
      <c r="B89">
        <v>25.81</v>
      </c>
      <c r="C89">
        <v>25.12</v>
      </c>
      <c r="D89">
        <v>24.5</v>
      </c>
      <c r="E89">
        <v>26.2</v>
      </c>
      <c r="F89">
        <v>18</v>
      </c>
      <c r="G89">
        <f>$F$72*F23</f>
        <v>0</v>
      </c>
      <c r="I89">
        <f>0.1*SUMPRODUCT($B$72:$F$72,B23:F23)</f>
        <v>255542.15842141386</v>
      </c>
    </row>
    <row r="90" spans="1:14">
      <c r="B90">
        <v>25.81</v>
      </c>
      <c r="C90">
        <v>25.12</v>
      </c>
      <c r="D90">
        <v>24.5</v>
      </c>
      <c r="E90">
        <v>26.2</v>
      </c>
      <c r="F90">
        <v>18</v>
      </c>
      <c r="G90">
        <f>$F$72*F24</f>
        <v>0</v>
      </c>
      <c r="I90">
        <f>0.1*SUMPRODUCT($B$72:$F$72,B24:F24)</f>
        <v>121686.74210543517</v>
      </c>
    </row>
    <row r="91" spans="1:14">
      <c r="B91">
        <v>25.81</v>
      </c>
      <c r="C91">
        <v>25.12</v>
      </c>
      <c r="D91">
        <v>24.5</v>
      </c>
      <c r="E91">
        <v>26.2</v>
      </c>
      <c r="F91">
        <v>18</v>
      </c>
      <c r="G91">
        <f>$F$72*F25</f>
        <v>0</v>
      </c>
      <c r="I91">
        <f>0.1*SUMPRODUCT($B$72:$F$72,B25:F25)</f>
        <v>121686.74210543517</v>
      </c>
    </row>
    <row r="92" spans="1:14" ht="15">
      <c r="A92" t="s">
        <v>562</v>
      </c>
      <c r="B92">
        <v>6.9000000000000062E-4</v>
      </c>
      <c r="C92">
        <v>3.5000000000000032E-4</v>
      </c>
      <c r="D92">
        <v>1.7500000000000016E-4</v>
      </c>
      <c r="E92">
        <v>8.6000000000000074E-4</v>
      </c>
      <c r="F92">
        <v>5.0000000000000046E-6</v>
      </c>
      <c r="G92">
        <f>SUMPRODUCT($B$92:$F$92,$B$26:$F$26)</f>
        <v>850.92256997204822</v>
      </c>
      <c r="H92" t="s">
        <v>561</v>
      </c>
      <c r="I92">
        <v>9000</v>
      </c>
    </row>
    <row r="93" spans="1:14" ht="15">
      <c r="A93" t="s">
        <v>563</v>
      </c>
      <c r="G93">
        <f>$B$26</f>
        <v>527040.99334795692</v>
      </c>
      <c r="H93" t="s">
        <v>561</v>
      </c>
      <c r="I93">
        <v>600000</v>
      </c>
    </row>
    <row r="94" spans="1:14" ht="15">
      <c r="A94" t="s">
        <v>564</v>
      </c>
    </row>
    <row r="95" spans="1:14" ht="15">
      <c r="A95" t="s">
        <v>565</v>
      </c>
      <c r="H95" t="s">
        <v>566</v>
      </c>
      <c r="I95">
        <v>0</v>
      </c>
      <c r="K95" t="s">
        <v>567</v>
      </c>
      <c r="L95" t="s">
        <v>568</v>
      </c>
      <c r="N95" t="s">
        <v>569</v>
      </c>
    </row>
    <row r="96" spans="1:14" ht="15">
      <c r="A96" t="s">
        <v>570</v>
      </c>
      <c r="B96">
        <v>2.5093100000000002</v>
      </c>
      <c r="C96">
        <v>2.4422199999999998</v>
      </c>
      <c r="D96">
        <v>2.3819400000000002</v>
      </c>
      <c r="E96">
        <v>2.5472199999999998</v>
      </c>
      <c r="F96">
        <v>1.75</v>
      </c>
      <c r="G96">
        <f>SUMPRODUCT($B$96:$F$96,B6:F6)</f>
        <v>260150</v>
      </c>
      <c r="H96" t="s">
        <v>561</v>
      </c>
      <c r="I96">
        <f>12*22</f>
        <v>264</v>
      </c>
      <c r="J96">
        <v>1000</v>
      </c>
      <c r="K96">
        <f>I96*$J$96</f>
        <v>264000</v>
      </c>
      <c r="L96">
        <f>K96-10.5*1000*N96</f>
        <v>260150</v>
      </c>
      <c r="N96">
        <f>I96/SUM($I$96:$I$99)</f>
        <v>0.36666666666666664</v>
      </c>
    </row>
    <row r="97" spans="2:14" ht="15">
      <c r="B97">
        <v>2.5093100000000002</v>
      </c>
      <c r="C97">
        <v>2.4422199999999998</v>
      </c>
      <c r="D97">
        <v>2.3819400000000002</v>
      </c>
      <c r="E97">
        <v>2.5472199999999998</v>
      </c>
      <c r="F97">
        <v>1.75</v>
      </c>
      <c r="G97">
        <f>SUMPRODUCT($B$96:$F$96,B7:F7)</f>
        <v>0</v>
      </c>
      <c r="H97" t="s">
        <v>561</v>
      </c>
      <c r="I97">
        <f>12*22</f>
        <v>264</v>
      </c>
      <c r="K97">
        <f>I97*$J$96</f>
        <v>264000</v>
      </c>
      <c r="L97">
        <f>K97-10.5*1000*N97</f>
        <v>260150</v>
      </c>
      <c r="N97">
        <f>I97/SUM($I$96:$I$99)</f>
        <v>0.36666666666666664</v>
      </c>
    </row>
    <row r="98" spans="2:14" ht="15">
      <c r="B98">
        <v>2.5093100000000002</v>
      </c>
      <c r="C98">
        <v>2.4422199999999998</v>
      </c>
      <c r="D98">
        <v>2.3819400000000002</v>
      </c>
      <c r="E98">
        <v>2.5472199999999998</v>
      </c>
      <c r="F98">
        <v>1.75</v>
      </c>
      <c r="G98">
        <f>SUMPRODUCT($B$96:$F$96,B8:F8)</f>
        <v>94599.999999999985</v>
      </c>
      <c r="H98" t="s">
        <v>561</v>
      </c>
      <c r="I98">
        <f>12*8</f>
        <v>96</v>
      </c>
      <c r="K98">
        <f>I98*$J$96</f>
        <v>96000</v>
      </c>
      <c r="L98">
        <f>K98-10.5*1000*N98</f>
        <v>94600</v>
      </c>
      <c r="N98">
        <f>I98/SUM($I$96:$I$99)</f>
        <v>0.13333333333333333</v>
      </c>
    </row>
    <row r="99" spans="2:14" ht="15">
      <c r="B99">
        <v>2.5093100000000002</v>
      </c>
      <c r="C99">
        <v>2.4422199999999998</v>
      </c>
      <c r="D99">
        <v>2.3819400000000002</v>
      </c>
      <c r="E99">
        <v>2.5472199999999998</v>
      </c>
      <c r="F99">
        <v>1.75</v>
      </c>
      <c r="G99">
        <f>SUMPRODUCT($B$96:$F$96,B9:F9)</f>
        <v>0</v>
      </c>
      <c r="H99" t="s">
        <v>561</v>
      </c>
      <c r="I99">
        <f>12*8</f>
        <v>96</v>
      </c>
      <c r="K99">
        <f>I99*$J$96</f>
        <v>96000</v>
      </c>
      <c r="L99">
        <f>K99-10.5*1000*N99</f>
        <v>94600</v>
      </c>
      <c r="N99">
        <f>I99/SUM($I$96:$I$99)</f>
        <v>0.13333333333333333</v>
      </c>
    </row>
    <row r="100" spans="2:14" ht="15">
      <c r="B100">
        <v>2.5093100000000002</v>
      </c>
      <c r="C100">
        <v>2.4422199999999998</v>
      </c>
      <c r="D100">
        <v>2.3819400000000002</v>
      </c>
      <c r="E100">
        <v>2.5472199999999998</v>
      </c>
      <c r="F100">
        <v>1.75</v>
      </c>
      <c r="G100">
        <f>SUMPRODUCT($B$96:$F$96,B10:F10)</f>
        <v>260274.19354838709</v>
      </c>
      <c r="H100" t="s">
        <v>561</v>
      </c>
      <c r="I100">
        <f>22*12</f>
        <v>264</v>
      </c>
      <c r="K100">
        <f>I100*$J$96</f>
        <v>264000</v>
      </c>
      <c r="L100">
        <f>K100-10.5*1000*N100</f>
        <v>260274.19354838709</v>
      </c>
      <c r="N100">
        <f>I100/SUM($I$100:$I$103)</f>
        <v>0.35483870967741937</v>
      </c>
    </row>
    <row r="101" spans="2:14" ht="15">
      <c r="B101">
        <v>2.5093100000000002</v>
      </c>
      <c r="C101">
        <v>2.4422199999999998</v>
      </c>
      <c r="D101">
        <v>2.3819400000000002</v>
      </c>
      <c r="E101">
        <v>2.5472199999999998</v>
      </c>
      <c r="F101">
        <v>1.75</v>
      </c>
      <c r="G101">
        <f>SUMPRODUCT($B$96:$F$96,B11:F11)</f>
        <v>0</v>
      </c>
      <c r="H101" t="s">
        <v>561</v>
      </c>
      <c r="I101">
        <f>12*22</f>
        <v>264</v>
      </c>
      <c r="K101">
        <f>I101*$J$96</f>
        <v>264000</v>
      </c>
      <c r="L101">
        <f>K101-10.5*1000*N101</f>
        <v>260274.19354838709</v>
      </c>
      <c r="N101">
        <f>I101/SUM($I$100:$I$103)</f>
        <v>0.35483870967741937</v>
      </c>
    </row>
    <row r="102" spans="2:14" ht="15">
      <c r="B102">
        <v>2.5093100000000002</v>
      </c>
      <c r="C102">
        <v>2.4422199999999998</v>
      </c>
      <c r="D102">
        <v>2.3819400000000002</v>
      </c>
      <c r="E102">
        <v>2.5472199999999998</v>
      </c>
      <c r="F102">
        <v>1.75</v>
      </c>
      <c r="G102">
        <f>SUMPRODUCT($B$96:$F$96,B12:F12)</f>
        <v>106475.80645161291</v>
      </c>
      <c r="H102" t="s">
        <v>561</v>
      </c>
      <c r="I102">
        <f>12*9</f>
        <v>108</v>
      </c>
      <c r="K102">
        <f>I102*$J$96</f>
        <v>108000</v>
      </c>
      <c r="L102">
        <f>K102-10.5*1000*N102</f>
        <v>106475.80645161291</v>
      </c>
      <c r="N102">
        <f>I102/SUM($I$100:$I$103)</f>
        <v>0.14516129032258066</v>
      </c>
    </row>
    <row r="103" spans="2:14" ht="15">
      <c r="B103">
        <v>2.5093100000000002</v>
      </c>
      <c r="C103">
        <v>2.4422199999999998</v>
      </c>
      <c r="D103">
        <v>2.3819400000000002</v>
      </c>
      <c r="E103">
        <v>2.5472199999999998</v>
      </c>
      <c r="F103">
        <v>1.75</v>
      </c>
      <c r="G103">
        <f>SUMPRODUCT($B$96:$F$96,B13:F13)</f>
        <v>0</v>
      </c>
      <c r="H103" t="s">
        <v>561</v>
      </c>
      <c r="I103">
        <f>12*9</f>
        <v>108</v>
      </c>
      <c r="K103">
        <f>I103*$J$96</f>
        <v>108000</v>
      </c>
      <c r="L103">
        <f>K103-10.5*1000*N103</f>
        <v>106475.80645161291</v>
      </c>
      <c r="N103">
        <f>I103/SUM($I$100:$I$103)</f>
        <v>0.14516129032258066</v>
      </c>
    </row>
    <row r="104" spans="2:14" ht="15">
      <c r="B104">
        <v>2.5093100000000002</v>
      </c>
      <c r="C104">
        <v>2.4422199999999998</v>
      </c>
      <c r="D104">
        <v>2.3819400000000002</v>
      </c>
      <c r="E104">
        <v>2.5472199999999998</v>
      </c>
      <c r="F104">
        <v>1.75</v>
      </c>
      <c r="G104">
        <f>SUMPRODUCT($B$96:$F$96,B14:F14)</f>
        <v>260274.19354838709</v>
      </c>
      <c r="H104" t="s">
        <v>561</v>
      </c>
      <c r="I104">
        <f>12*22</f>
        <v>264</v>
      </c>
      <c r="K104">
        <f>I104*$J$96</f>
        <v>264000</v>
      </c>
      <c r="L104">
        <f>K104-10.5*1000*N104</f>
        <v>260274.19354838709</v>
      </c>
      <c r="N104">
        <f>I104/SUM($I$104:$I$107)</f>
        <v>0.35483870967741937</v>
      </c>
    </row>
    <row r="105" spans="2:14" ht="15">
      <c r="B105">
        <v>2.5093100000000002</v>
      </c>
      <c r="C105">
        <v>2.4422199999999998</v>
      </c>
      <c r="D105">
        <v>2.3819400000000002</v>
      </c>
      <c r="E105">
        <v>2.5472199999999998</v>
      </c>
      <c r="F105">
        <v>1.75</v>
      </c>
      <c r="G105">
        <f>SUMPRODUCT($B$96:$F$96,B15:F15)</f>
        <v>260274.19354838709</v>
      </c>
      <c r="H105" t="s">
        <v>561</v>
      </c>
      <c r="I105">
        <f>12*22</f>
        <v>264</v>
      </c>
      <c r="K105">
        <f>I105*$J$96</f>
        <v>264000</v>
      </c>
      <c r="L105">
        <f>K105-10.5*1000*N105</f>
        <v>260274.19354838709</v>
      </c>
      <c r="N105">
        <f>I105/SUM($I$104:$I$107)</f>
        <v>0.35483870967741937</v>
      </c>
    </row>
    <row r="106" spans="2:14" ht="15">
      <c r="B106">
        <v>2.5093100000000002</v>
      </c>
      <c r="C106">
        <v>2.4422199999999998</v>
      </c>
      <c r="D106">
        <v>2.3819400000000002</v>
      </c>
      <c r="E106">
        <v>2.5472199999999998</v>
      </c>
      <c r="F106">
        <v>1.75</v>
      </c>
      <c r="G106">
        <f>SUMPRODUCT($B$96:$F$96,B16:F16)</f>
        <v>106475.80645161291</v>
      </c>
      <c r="H106" t="s">
        <v>561</v>
      </c>
      <c r="I106">
        <f>12*9</f>
        <v>108</v>
      </c>
      <c r="K106">
        <f>I106*$J$96</f>
        <v>108000</v>
      </c>
      <c r="L106">
        <f>K106-10.5*1000*N106</f>
        <v>106475.80645161291</v>
      </c>
      <c r="N106">
        <f>I106/SUM($I$104:$I$107)</f>
        <v>0.14516129032258066</v>
      </c>
    </row>
    <row r="107" spans="2:14" ht="15">
      <c r="B107">
        <v>2.5093100000000002</v>
      </c>
      <c r="C107">
        <v>2.4422199999999998</v>
      </c>
      <c r="D107">
        <v>2.3819400000000002</v>
      </c>
      <c r="E107">
        <v>2.5472199999999998</v>
      </c>
      <c r="F107">
        <v>1.75</v>
      </c>
      <c r="G107">
        <f>SUMPRODUCT($B$96:$F$96,B17:F17)</f>
        <v>0</v>
      </c>
      <c r="H107" t="s">
        <v>561</v>
      </c>
      <c r="I107">
        <f>12*9</f>
        <v>108</v>
      </c>
      <c r="K107">
        <f>I107*$J$96</f>
        <v>108000</v>
      </c>
      <c r="L107">
        <f>K107-10.5*1000*N107</f>
        <v>106475.80645161291</v>
      </c>
      <c r="N107">
        <f>I107/SUM($I$104:$I$107)</f>
        <v>0.14516129032258066</v>
      </c>
    </row>
    <row r="108" spans="2:14" ht="15">
      <c r="B108">
        <v>2.5093100000000002</v>
      </c>
      <c r="C108">
        <v>2.4422199999999998</v>
      </c>
      <c r="D108">
        <v>2.3819400000000002</v>
      </c>
      <c r="E108">
        <v>2.5472199999999998</v>
      </c>
      <c r="F108">
        <v>1.75</v>
      </c>
      <c r="G108">
        <f>SUMPRODUCT($B$96:$F$96,B18:F18)</f>
        <v>260150.00000000003</v>
      </c>
      <c r="H108" t="s">
        <v>561</v>
      </c>
      <c r="I108">
        <f>12*22</f>
        <v>264</v>
      </c>
      <c r="K108">
        <f>I108*$J$96</f>
        <v>264000</v>
      </c>
      <c r="L108">
        <f>K108-10.5*1000*N108</f>
        <v>260150</v>
      </c>
      <c r="N108">
        <f>I108/SUM($I$108:$I$111)</f>
        <v>0.36666666666666664</v>
      </c>
    </row>
    <row r="109" spans="2:14" ht="15">
      <c r="B109">
        <v>2.5093100000000002</v>
      </c>
      <c r="C109">
        <v>2.4422199999999998</v>
      </c>
      <c r="D109">
        <v>2.3819400000000002</v>
      </c>
      <c r="E109">
        <v>2.5472199999999998</v>
      </c>
      <c r="F109">
        <v>1.75</v>
      </c>
      <c r="G109">
        <f>SUMPRODUCT($B$96:$F$96,B19:F19)</f>
        <v>260150.00000000003</v>
      </c>
      <c r="H109" t="s">
        <v>561</v>
      </c>
      <c r="I109">
        <f>12*22</f>
        <v>264</v>
      </c>
      <c r="K109">
        <f>I109*$J$96</f>
        <v>264000</v>
      </c>
      <c r="L109">
        <f>K109-10.5*1000*N109</f>
        <v>260150</v>
      </c>
      <c r="N109">
        <f>I109/SUM($I$108:$I$111)</f>
        <v>0.36666666666666664</v>
      </c>
    </row>
    <row r="110" spans="2:14" ht="15">
      <c r="B110">
        <v>2.5093100000000002</v>
      </c>
      <c r="C110">
        <v>2.4422199999999998</v>
      </c>
      <c r="D110">
        <v>2.3819400000000002</v>
      </c>
      <c r="E110">
        <v>2.5472199999999998</v>
      </c>
      <c r="F110">
        <v>1.75</v>
      </c>
      <c r="G110">
        <f>SUMPRODUCT($B$96:$F$96,B20:F20)</f>
        <v>94600</v>
      </c>
      <c r="H110" t="s">
        <v>561</v>
      </c>
      <c r="I110">
        <f>12*8</f>
        <v>96</v>
      </c>
      <c r="K110">
        <f>I110*$J$96</f>
        <v>96000</v>
      </c>
      <c r="L110">
        <f>K110-10.5*1000*N110</f>
        <v>94600</v>
      </c>
      <c r="N110">
        <f>I110/SUM($I$108:$I$111)</f>
        <v>0.13333333333333333</v>
      </c>
    </row>
    <row r="111" spans="2:14" ht="15">
      <c r="B111">
        <v>2.5093100000000002</v>
      </c>
      <c r="C111">
        <v>2.4422199999999998</v>
      </c>
      <c r="D111">
        <v>2.3819400000000002</v>
      </c>
      <c r="E111">
        <v>2.5472199999999998</v>
      </c>
      <c r="F111">
        <v>1.75</v>
      </c>
      <c r="G111">
        <f>SUMPRODUCT($B$96:$F$96,B21:F21)</f>
        <v>94600</v>
      </c>
      <c r="H111" t="s">
        <v>561</v>
      </c>
      <c r="I111">
        <f>12*8</f>
        <v>96</v>
      </c>
      <c r="K111">
        <f>I111*$J$96</f>
        <v>96000</v>
      </c>
      <c r="L111">
        <f>K111-10.5*1000*N111</f>
        <v>94600</v>
      </c>
      <c r="N111">
        <f>I111/SUM($I$108:$I$111)</f>
        <v>0.13333333333333333</v>
      </c>
    </row>
    <row r="112" spans="2:14" ht="15">
      <c r="B112">
        <v>2.5093100000000002</v>
      </c>
      <c r="C112">
        <v>2.4422199999999998</v>
      </c>
      <c r="D112">
        <v>2.3819400000000002</v>
      </c>
      <c r="E112">
        <v>2.5472199999999998</v>
      </c>
      <c r="F112">
        <v>1.75</v>
      </c>
      <c r="G112">
        <f>SUMPRODUCT($B$96:$F$96,B22:F22)</f>
        <v>248443.54838709682</v>
      </c>
      <c r="H112" t="s">
        <v>561</v>
      </c>
      <c r="I112">
        <f>21*12</f>
        <v>252</v>
      </c>
      <c r="K112">
        <f>I112*$J$96</f>
        <v>252000</v>
      </c>
      <c r="L112">
        <f>K112-10.5*1000*N112</f>
        <v>248443.54838709679</v>
      </c>
      <c r="N112">
        <f>I112/SUM($I$112:$I$115)</f>
        <v>0.33870967741935482</v>
      </c>
    </row>
    <row r="113" spans="2:14" ht="15">
      <c r="B113">
        <v>2.5093100000000002</v>
      </c>
      <c r="C113">
        <v>2.4422199999999998</v>
      </c>
      <c r="D113">
        <v>2.3819400000000002</v>
      </c>
      <c r="E113">
        <v>2.5472199999999998</v>
      </c>
      <c r="F113">
        <v>1.75</v>
      </c>
      <c r="G113">
        <f>SUMPRODUCT($B$96:$F$96,B23:F23)</f>
        <v>248443.54838709682</v>
      </c>
      <c r="H113" t="s">
        <v>561</v>
      </c>
      <c r="I113">
        <f>21*12</f>
        <v>252</v>
      </c>
      <c r="K113">
        <f>I113*$J$96</f>
        <v>252000</v>
      </c>
      <c r="L113">
        <f>K113-10.5*1000*N113</f>
        <v>248443.54838709679</v>
      </c>
      <c r="N113">
        <f>I113/SUM($I$112:$I$115)</f>
        <v>0.33870967741935482</v>
      </c>
    </row>
    <row r="114" spans="2:14" ht="15">
      <c r="B114">
        <v>2.5093100000000002</v>
      </c>
      <c r="C114">
        <v>2.4422199999999998</v>
      </c>
      <c r="D114">
        <v>2.3819400000000002</v>
      </c>
      <c r="E114">
        <v>2.5472199999999998</v>
      </c>
      <c r="F114">
        <v>1.75</v>
      </c>
      <c r="G114">
        <f>SUMPRODUCT($B$96:$F$96,B24:F24)</f>
        <v>118306.45161290326</v>
      </c>
      <c r="H114" t="s">
        <v>561</v>
      </c>
      <c r="I114">
        <f>12*10</f>
        <v>120</v>
      </c>
      <c r="K114">
        <f>I114*$J$96</f>
        <v>120000</v>
      </c>
      <c r="L114">
        <f>K114-10.5*1000*N114</f>
        <v>118306.45161290323</v>
      </c>
      <c r="N114">
        <f>I114/SUM($I$112:$I$115)</f>
        <v>0.16129032258064516</v>
      </c>
    </row>
    <row r="115" spans="2:14" ht="15">
      <c r="B115">
        <v>2.5093100000000002</v>
      </c>
      <c r="C115">
        <v>2.4422199999999998</v>
      </c>
      <c r="D115">
        <v>2.3819400000000002</v>
      </c>
      <c r="E115">
        <v>2.5472199999999998</v>
      </c>
      <c r="F115">
        <v>1.75</v>
      </c>
      <c r="G115">
        <f>SUMPRODUCT($B$96:$F$96,B25:F25)</f>
        <v>118306.45161290326</v>
      </c>
      <c r="H115" t="s">
        <v>561</v>
      </c>
      <c r="I115">
        <f>12*10</f>
        <v>120</v>
      </c>
      <c r="K115">
        <f>I115*$J$96</f>
        <v>120000</v>
      </c>
      <c r="L115">
        <f>K115-10.5*1000*N115</f>
        <v>118306.45161290323</v>
      </c>
      <c r="N115">
        <f>I115/SUM($I$112:$I$115)</f>
        <v>0.16129032258064516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7456-E8BD-4C08-88FA-0F89D118783E}">
  <dimension ref="A1:X78"/>
  <sheetViews>
    <sheetView workbookViewId="0"/>
  </sheetViews>
  <sheetFormatPr defaultColWidth="11.42578125" defaultRowHeight="15"/>
  <cols>
    <col min="1" max="1" width="23" bestFit="1" customWidth="1"/>
    <col min="2" max="2" width="12.7109375" bestFit="1" customWidth="1"/>
    <col min="5" max="5" width="12.7109375" bestFit="1" customWidth="1"/>
    <col min="10" max="10" width="22" bestFit="1" customWidth="1"/>
  </cols>
  <sheetData>
    <row r="1" spans="1:11">
      <c r="A1" t="s">
        <v>571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</row>
    <row r="2" spans="1:11">
      <c r="A2" t="s">
        <v>45</v>
      </c>
      <c r="B2" t="s">
        <v>572</v>
      </c>
      <c r="C2" t="s">
        <v>572</v>
      </c>
      <c r="D2" t="s">
        <v>572</v>
      </c>
      <c r="E2" t="s">
        <v>572</v>
      </c>
      <c r="F2" t="s">
        <v>572</v>
      </c>
      <c r="G2" t="s">
        <v>573</v>
      </c>
    </row>
    <row r="3" spans="1:11">
      <c r="A3" t="s">
        <v>535</v>
      </c>
      <c r="B3">
        <f>(L19-$K$6-$K$7*$K$8*$K$9)*$L$28-$H$46</f>
        <v>19.946801388888886</v>
      </c>
      <c r="C3">
        <f>(L19-$K$6-$K$7*$K$8*$K$9)*$L$29-$H$47</f>
        <v>16.905755555555558</v>
      </c>
      <c r="D3">
        <f>(L19-$K$6-$K$7*$K$8*$K$9)*$L$30-$H$48</f>
        <v>15.534236111111113</v>
      </c>
      <c r="E3">
        <f>(L19-$K$6-$K$7*$K$8*$K$9)*$L$31-$H$49</f>
        <v>21.451305555555564</v>
      </c>
      <c r="F3">
        <f>(L19-$K$6-$K$7*$K$8*$K$9+$K$10)*$L$32-$H$50</f>
        <v>48.572500000000005</v>
      </c>
      <c r="G3">
        <f>12*22</f>
        <v>264</v>
      </c>
      <c r="J3" t="s">
        <v>47</v>
      </c>
      <c r="K3" t="s">
        <v>48</v>
      </c>
    </row>
    <row r="4" spans="1:11">
      <c r="A4" t="s">
        <v>537</v>
      </c>
      <c r="B4">
        <f>(L20-$K$6-$K$7*$K$8*$K$9)*$L$28-$H$46</f>
        <v>-2.6369486111111158</v>
      </c>
      <c r="C4">
        <f>(L20-$K$6-$K$7*$K$8*$K$9)*$L$29-$H$47</f>
        <v>-5.0742444444444388</v>
      </c>
      <c r="D4">
        <f>(L20-$K$6-$K$7*$K$8*$K$9)*$L$30-$H$48</f>
        <v>-5.9032638888888869</v>
      </c>
      <c r="E4">
        <f>(L20-$K$6-$K$7*$K$8*$K$9)*$L$31-$H$49</f>
        <v>-1.4736944444444404</v>
      </c>
      <c r="F4">
        <f>(L20-$K$6-$K$7*$K$8*$K$9+$K$10)*$L$32-$H$50</f>
        <v>32.822500000000005</v>
      </c>
      <c r="G4">
        <f>12*22</f>
        <v>264</v>
      </c>
      <c r="J4" t="s">
        <v>55</v>
      </c>
      <c r="K4">
        <v>0.35</v>
      </c>
    </row>
    <row r="5" spans="1:11">
      <c r="A5" t="s">
        <v>538</v>
      </c>
      <c r="B5">
        <f>(L21-$K$6-$K$7*$K$8*$K$9)*$L$28-$H$46</f>
        <v>13.673537500000002</v>
      </c>
      <c r="C5">
        <f>(L21-$K$6-$K$7*$K$8*$K$9)*$L$29-$H$47</f>
        <v>10.800200000000004</v>
      </c>
      <c r="D5">
        <f>(L21-$K$6-$K$7*$K$8*$K$9)*$L$30-$H$48</f>
        <v>9.579375000000006</v>
      </c>
      <c r="E5">
        <f>(L21-$K$6-$K$7*$K$8*$K$9)*$L$31-$H$49</f>
        <v>15.083250000000007</v>
      </c>
      <c r="F5">
        <f>(L21-$K$6-$K$7*$K$8*$K$9+$K$10)*$L$32-$H$50</f>
        <v>44.197500000000005</v>
      </c>
      <c r="G5">
        <f>12*8</f>
        <v>96</v>
      </c>
      <c r="J5" t="s">
        <v>57</v>
      </c>
      <c r="K5">
        <v>1000</v>
      </c>
    </row>
    <row r="6" spans="1:11">
      <c r="A6" t="s">
        <v>539</v>
      </c>
      <c r="B6">
        <f>(L22-$K$6-$K$7*$K$8*$K$9)*$L$28-$H$46</f>
        <v>-4.644393055555561</v>
      </c>
      <c r="C6">
        <f>(L22-$K$6-$K$7*$K$8*$K$9)*$L$29-$H$47</f>
        <v>-7.0280222222222193</v>
      </c>
      <c r="D6">
        <f>(L22-$K$6-$K$7*$K$8*$K$9)*$L$30-$H$48</f>
        <v>-7.8088194444444454</v>
      </c>
      <c r="E6">
        <f>(L22-$K$6-$K$7*$K$8*$K$9)*$L$31-$H$49</f>
        <v>-3.5114722222222241</v>
      </c>
      <c r="F6">
        <f>(L22-$K$6-$K$7*$K$8*$K$9+$K$10)*$L$32-$H$50</f>
        <v>31.422499999999999</v>
      </c>
      <c r="G6">
        <f>12*8</f>
        <v>96</v>
      </c>
      <c r="J6" t="s">
        <v>59</v>
      </c>
      <c r="K6">
        <v>0.65</v>
      </c>
    </row>
    <row r="7" spans="1:11">
      <c r="A7" t="s">
        <v>540</v>
      </c>
      <c r="B7">
        <f>(M19-$K$6-$K$7*$K$8*$K$9)*$L$28-$H$46</f>
        <v>20.825058333333338</v>
      </c>
      <c r="C7">
        <f>(M19-$K$6-$K$7*$K$8*$K$9)*$L$29-$H$47</f>
        <v>17.760533333333342</v>
      </c>
      <c r="D7">
        <f>(M19-$K$6-$K$7*$K$8*$K$9)*$L$30-$H$48</f>
        <v>16.367916666666673</v>
      </c>
      <c r="E7">
        <f>(M19-$K$6-$K$7*$K$8*$K$9)*$L$31-$H$49</f>
        <v>22.342833333333346</v>
      </c>
      <c r="F7">
        <f>(M19-$K$6-$K$7*$K$8*$K$9+$K$10)*$L$32-$H$50</f>
        <v>49.185000000000016</v>
      </c>
      <c r="G7">
        <f>22*12</f>
        <v>264</v>
      </c>
      <c r="J7" t="s">
        <v>61</v>
      </c>
      <c r="K7">
        <v>0.8</v>
      </c>
    </row>
    <row r="8" spans="1:11">
      <c r="A8" t="s">
        <v>541</v>
      </c>
      <c r="B8">
        <f>(M20-$K$6-$K$7*$K$8*$K$9)*$L$28-$H$46</f>
        <v>-2.6369486111111158</v>
      </c>
      <c r="C8">
        <f>(M20-$K$6-$K$7*$K$8*$K$9)*$L$29-$H$47</f>
        <v>-5.0742444444444388</v>
      </c>
      <c r="D8">
        <f>(M20-$K$6-$K$7*$K$8*$K$9)*$L$30-$H$48</f>
        <v>-5.9032638888888869</v>
      </c>
      <c r="E8">
        <f>(M20-$K$6-$K$7*$K$8*$K$9)*$L$31-$H$49</f>
        <v>-1.4736944444444404</v>
      </c>
      <c r="F8">
        <f>(M20-$K$6-$K$7*$K$8*$K$9+$K$10)*$L$32-$H$50</f>
        <v>32.822500000000005</v>
      </c>
      <c r="G8">
        <f>12*22</f>
        <v>264</v>
      </c>
      <c r="J8" t="s">
        <v>62</v>
      </c>
      <c r="K8">
        <v>15</v>
      </c>
    </row>
    <row r="9" spans="1:11">
      <c r="A9" t="s">
        <v>542</v>
      </c>
      <c r="B9">
        <f>(M21-$K$6-$K$7*$K$8*$K$9)*$L$28-$H$46</f>
        <v>15.68098194444444</v>
      </c>
      <c r="C9">
        <f>(M21-$K$6-$K$7*$K$8*$K$9)*$L$29-$H$47</f>
        <v>12.753977777777777</v>
      </c>
      <c r="D9">
        <f>(M21-$K$6-$K$7*$K$8*$K$9)*$L$30-$H$48</f>
        <v>11.484930555555557</v>
      </c>
      <c r="E9">
        <f>(M21-$K$6-$K$7*$K$8*$K$9)*$L$31-$H$49</f>
        <v>17.121027777777776</v>
      </c>
      <c r="F9">
        <f>(M21-$K$6-$K$7*$K$8*$K$9+$K$10)*$L$32-$H$50</f>
        <v>45.597500000000011</v>
      </c>
      <c r="G9">
        <f>12*9</f>
        <v>108</v>
      </c>
      <c r="J9" t="s">
        <v>63</v>
      </c>
      <c r="K9">
        <v>0.87</v>
      </c>
    </row>
    <row r="10" spans="1:11">
      <c r="A10" t="s">
        <v>543</v>
      </c>
      <c r="B10">
        <f>(M22-$K$6-$K$7*$K$8*$K$9)*$L$28-$H$46</f>
        <v>-4.3934624999999983</v>
      </c>
      <c r="C10">
        <f>(M22-$K$6-$K$7*$K$8*$K$9)*$L$29-$H$47</f>
        <v>-6.7837999999999923</v>
      </c>
      <c r="D10">
        <f>(M22-$K$6-$K$7*$K$8*$K$9)*$L$30-$H$48</f>
        <v>-7.5706249999999926</v>
      </c>
      <c r="E10">
        <f>(M22-$K$6-$K$7*$K$8*$K$9)*$L$31-$H$49</f>
        <v>-3.2567499999999967</v>
      </c>
      <c r="F10">
        <f>(M22-$K$6-$K$7*$K$8*$K$9+$K$10)*$L$32-$H$50</f>
        <v>31.597500000000011</v>
      </c>
      <c r="G10">
        <f>12*9</f>
        <v>108</v>
      </c>
      <c r="J10" t="s">
        <v>64</v>
      </c>
      <c r="K10">
        <v>45</v>
      </c>
    </row>
    <row r="11" spans="1:11">
      <c r="A11" t="s">
        <v>544</v>
      </c>
      <c r="B11">
        <f>(N19-$K$6-$K$7*$K$8*$K$9)*$L$28-$H$46</f>
        <v>24.087155555555555</v>
      </c>
      <c r="C11">
        <f>(N19-$K$6-$K$7*$K$8*$K$9)*$L$29-$H$47</f>
        <v>20.935422222222222</v>
      </c>
      <c r="D11">
        <f>(N19-$K$6-$K$7*$K$8*$K$9)*$L$30-$H$48</f>
        <v>19.464444444444446</v>
      </c>
      <c r="E11">
        <f>(N19-$K$6-$K$7*$K$8*$K$9)*$L$31-$H$49</f>
        <v>25.654222222222216</v>
      </c>
      <c r="F11">
        <f>(N19-$K$6-$K$7*$K$8*$K$9+$K$10)*$L$32-$H$50</f>
        <v>51.460000000000008</v>
      </c>
      <c r="G11">
        <f>12*22</f>
        <v>264</v>
      </c>
      <c r="J11" t="s">
        <v>65</v>
      </c>
      <c r="K11">
        <v>9000</v>
      </c>
    </row>
    <row r="12" spans="1:11">
      <c r="A12" t="s">
        <v>545</v>
      </c>
      <c r="B12">
        <f>(N20-$K$6-$K$7*$K$8*$K$9)*$L$28-$H$46</f>
        <v>0.37421805555554499</v>
      </c>
      <c r="C12">
        <f>(N20-$K$6-$K$7*$K$8*$K$9)*$L$29-$H$47</f>
        <v>-2.1435777777777787</v>
      </c>
      <c r="D12">
        <f>(N20-$K$6-$K$7*$K$8*$K$9)*$L$30-$H$48</f>
        <v>-3.0449305555555597</v>
      </c>
      <c r="E12">
        <f>(N20-$K$6-$K$7*$K$8*$K$9)*$L$31-$H$49</f>
        <v>1.5829722222222173</v>
      </c>
      <c r="F12">
        <f>(N20-$K$6-$K$7*$K$8*$K$9+$K$10)*$L$32-$H$50</f>
        <v>34.922499999999999</v>
      </c>
      <c r="G12">
        <f>12*22</f>
        <v>264</v>
      </c>
      <c r="J12" t="s">
        <v>66</v>
      </c>
      <c r="K12">
        <v>600000</v>
      </c>
    </row>
    <row r="13" spans="1:11">
      <c r="A13" t="s">
        <v>546</v>
      </c>
      <c r="B13">
        <f>(N21-$K$6-$K$7*$K$8*$K$9)*$L$28-$H$46</f>
        <v>19.068544444444441</v>
      </c>
      <c r="C13">
        <f>(N21-$K$6-$K$7*$K$8*$K$9)*$L$29-$H$47</f>
        <v>16.050977777777781</v>
      </c>
      <c r="D13">
        <f>(N21-$K$6-$K$7*$K$8*$K$9)*$L$30-$H$48</f>
        <v>14.70055555555556</v>
      </c>
      <c r="E13">
        <f>(N21-$K$6-$K$7*$K$8*$K$9)*$L$31-$H$49</f>
        <v>20.559777777777782</v>
      </c>
      <c r="F13">
        <f>(N21-$K$6-$K$7*$K$8*$K$9+$K$10)*$L$32-$H$50</f>
        <v>47.960000000000008</v>
      </c>
      <c r="G13">
        <f>12*9</f>
        <v>108</v>
      </c>
      <c r="J13" t="s">
        <v>67</v>
      </c>
      <c r="K13">
        <v>0.1</v>
      </c>
    </row>
    <row r="14" spans="1:11">
      <c r="A14" t="s">
        <v>547</v>
      </c>
      <c r="B14">
        <f>(N22-$K$6-$K$7*$K$8*$K$9)*$L$28-$H$46</f>
        <v>-1.3822958333333304</v>
      </c>
      <c r="C14">
        <f>(N22-$K$6-$K$7*$K$8*$K$9)*$L$29-$H$47</f>
        <v>-3.8531333333333251</v>
      </c>
      <c r="D14">
        <f>(N22-$K$6-$K$7*$K$8*$K$9)*$L$30-$H$48</f>
        <v>-4.7122916666666583</v>
      </c>
      <c r="E14">
        <f>(N22-$K$6-$K$7*$K$8*$K$9)*$L$31-$H$49</f>
        <v>-0.20008333333332473</v>
      </c>
      <c r="F14">
        <f>(N22-$K$6-$K$7*$K$8*$K$9+$K$10)*$L$32-$H$50</f>
        <v>33.697500000000005</v>
      </c>
      <c r="G14">
        <f>12*9</f>
        <v>108</v>
      </c>
      <c r="J14" t="s">
        <v>68</v>
      </c>
      <c r="K14">
        <v>12</v>
      </c>
    </row>
    <row r="15" spans="1:11">
      <c r="A15" t="s">
        <v>548</v>
      </c>
      <c r="B15">
        <f>(O19-$K$6-$K$7*$K$8*$K$9)*$L$28-$H$46</f>
        <v>25.843669444444444</v>
      </c>
      <c r="C15">
        <f>(O19-$K$6-$K$7*$K$8*$K$9)*$L$29-$H$47</f>
        <v>22.64497777777779</v>
      </c>
      <c r="D15">
        <f>(O19-$K$6-$K$7*$K$8*$K$9)*$L$30-$H$48</f>
        <v>21.131805555555559</v>
      </c>
      <c r="E15">
        <f>(O19-$K$6-$K$7*$K$8*$K$9)*$L$31-$H$49</f>
        <v>27.43727777777778</v>
      </c>
      <c r="F15">
        <f>(O19-$K$6-$K$7*$K$8*$K$9+$K$10)*$L$32-$H$50</f>
        <v>52.685000000000016</v>
      </c>
      <c r="G15">
        <f>12*22</f>
        <v>264</v>
      </c>
      <c r="J15" t="s">
        <v>69</v>
      </c>
      <c r="K15">
        <v>12</v>
      </c>
    </row>
    <row r="16" spans="1:11">
      <c r="A16" t="s">
        <v>549</v>
      </c>
      <c r="B16">
        <f>(O20-$K$6-$K$7*$K$8*$K$9)*$L$28-$H$46</f>
        <v>1.1270097222222262</v>
      </c>
      <c r="C16">
        <f>(O20-$K$6-$K$7*$K$8*$K$9)*$L$29-$H$47</f>
        <v>-1.4109111111111048</v>
      </c>
      <c r="D16">
        <f>(O20-$K$6-$K$7*$K$8*$K$9)*$L$30-$H$48</f>
        <v>-2.3303472222222155</v>
      </c>
      <c r="E16">
        <f>(O20-$K$6-$K$7*$K$8*$K$9)*$L$31-$H$49</f>
        <v>2.3471388888888924</v>
      </c>
      <c r="F16">
        <f>(O20-$K$6-$K$7*$K$8*$K$9+$K$10)*$L$32-$H$50</f>
        <v>35.447500000000005</v>
      </c>
      <c r="G16">
        <f>12*22</f>
        <v>264</v>
      </c>
    </row>
    <row r="17" spans="1:16">
      <c r="A17" t="s">
        <v>550</v>
      </c>
      <c r="B17">
        <f>(O21-$K$6-$K$7*$K$8*$K$9)*$L$28-$H$46</f>
        <v>19.444940277777768</v>
      </c>
      <c r="C17">
        <f>(O21-$K$6-$K$7*$K$8*$K$9)*$L$29-$H$47</f>
        <v>16.417311111111111</v>
      </c>
      <c r="D17">
        <f>(O21-$K$6-$K$7*$K$8*$K$9)*$L$30-$H$48</f>
        <v>15.057847222222222</v>
      </c>
      <c r="E17">
        <f>(O21-$K$6-$K$7*$K$8*$K$9)*$L$31-$H$49</f>
        <v>20.941861111111109</v>
      </c>
      <c r="F17">
        <f>(O21-$K$6-$K$7*$K$8*$K$9+$K$10)*$L$32-$H$50</f>
        <v>48.222500000000011</v>
      </c>
      <c r="G17">
        <f>12*8</f>
        <v>96</v>
      </c>
    </row>
    <row r="18" spans="1:16">
      <c r="A18" t="s">
        <v>551</v>
      </c>
      <c r="B18">
        <f>(O22-$K$6-$K$7*$K$8*$K$9)*$L$28-$H$46</f>
        <v>-1.005900000000004</v>
      </c>
      <c r="C18">
        <f>(O22-$K$6-$K$7*$K$8*$K$9)*$L$29-$H$47</f>
        <v>-3.4867999999999952</v>
      </c>
      <c r="D18">
        <f>(O22-$K$6-$K$7*$K$8*$K$9)*$L$30-$H$48</f>
        <v>-4.3549999999999969</v>
      </c>
      <c r="E18">
        <f>(O22-$K$6-$K$7*$K$8*$K$9)*$L$31-$H$49</f>
        <v>0.18200000000000216</v>
      </c>
      <c r="F18">
        <f>(O22-$K$6-$K$7*$K$8*$K$9+$K$10)*$L$32-$H$50</f>
        <v>33.960000000000008</v>
      </c>
      <c r="G18">
        <f>12*8</f>
        <v>96</v>
      </c>
      <c r="J18" t="s">
        <v>45</v>
      </c>
      <c r="K18" t="s">
        <v>513</v>
      </c>
      <c r="L18" t="s">
        <v>514</v>
      </c>
      <c r="M18" t="s">
        <v>515</v>
      </c>
      <c r="N18" t="s">
        <v>516</v>
      </c>
      <c r="O18" t="s">
        <v>517</v>
      </c>
      <c r="P18" t="s">
        <v>518</v>
      </c>
    </row>
    <row r="19" spans="1:16">
      <c r="A19" t="s">
        <v>552</v>
      </c>
      <c r="B19">
        <f>(P19-$K$6-$K$7*$K$8*$K$9)*$L$28-$H$46</f>
        <v>39.268454166666672</v>
      </c>
      <c r="C19">
        <f>(P19-$K$6-$K$7*$K$8*$K$9)*$L$29-$H$47</f>
        <v>35.710866666666682</v>
      </c>
      <c r="D19">
        <f>(P19-$K$6-$K$7*$K$8*$K$9)*$L$30-$H$48</f>
        <v>33.875208333333347</v>
      </c>
      <c r="E19">
        <f>(P19-$K$6-$K$7*$K$8*$K$9)*$L$31-$H$49</f>
        <v>41.064916666666676</v>
      </c>
      <c r="F19">
        <f>(P19-$K$6-$K$7*$K$8*$K$9+$K$10)*$L$32-$H$50</f>
        <v>62.047500000000028</v>
      </c>
      <c r="G19">
        <f>21*12</f>
        <v>252</v>
      </c>
      <c r="J19" t="s">
        <v>519</v>
      </c>
      <c r="K19" t="s">
        <v>520</v>
      </c>
      <c r="L19">
        <v>36</v>
      </c>
      <c r="M19">
        <v>36.35</v>
      </c>
      <c r="N19">
        <v>37.65</v>
      </c>
      <c r="O19">
        <v>38.35</v>
      </c>
      <c r="P19">
        <v>43.7</v>
      </c>
    </row>
    <row r="20" spans="1:16">
      <c r="A20" t="s">
        <v>553</v>
      </c>
      <c r="B20">
        <f>(P20-$K$6-$K$7*$K$8*$K$9)*$L$28-$H$46</f>
        <v>9.156787499999993</v>
      </c>
      <c r="C20">
        <f>(P20-$K$6-$K$7*$K$8*$K$9)*$L$29-$H$47</f>
        <v>6.4041999999999959</v>
      </c>
      <c r="D20">
        <f>(P20-$K$6-$K$7*$K$8*$K$9)*$L$30-$H$48</f>
        <v>5.2918749999999974</v>
      </c>
      <c r="E20">
        <f>(P20-$K$6-$K$7*$K$8*$K$9)*$L$31-$H$49</f>
        <v>10.498249999999992</v>
      </c>
      <c r="F20">
        <f>(P20-$K$6-$K$7*$K$8*$K$9+$K$10)*$L$32-$H$50</f>
        <v>41.047499999999999</v>
      </c>
      <c r="G20">
        <f>21*12</f>
        <v>252</v>
      </c>
      <c r="J20" t="s">
        <v>521</v>
      </c>
      <c r="K20" t="s">
        <v>520</v>
      </c>
      <c r="L20">
        <v>27</v>
      </c>
      <c r="M20">
        <v>27</v>
      </c>
      <c r="N20">
        <v>28.2</v>
      </c>
      <c r="O20">
        <v>28.5</v>
      </c>
      <c r="P20">
        <v>31.7</v>
      </c>
    </row>
    <row r="21" spans="1:16">
      <c r="A21" t="s">
        <v>554</v>
      </c>
      <c r="B21">
        <f>(P21-$K$6-$K$7*$K$8*$K$9)*$L$28-$H$46</f>
        <v>26.721926388888889</v>
      </c>
      <c r="C21">
        <f>(P21-$K$6-$K$7*$K$8*$K$9)*$L$29-$H$47</f>
        <v>23.499755555555573</v>
      </c>
      <c r="D21">
        <f>(P21-$K$6-$K$7*$K$8*$K$9)*$L$30-$H$48</f>
        <v>21.965486111111119</v>
      </c>
      <c r="E21">
        <f>(P21-$K$6-$K$7*$K$8*$K$9)*$L$31-$H$49</f>
        <v>28.328805555555562</v>
      </c>
      <c r="F21">
        <f>(P21-$K$6-$K$7*$K$8*$K$9+$K$10)*$L$32-$H$50</f>
        <v>53.297500000000028</v>
      </c>
      <c r="G21">
        <f>12*10</f>
        <v>120</v>
      </c>
      <c r="J21" t="s">
        <v>525</v>
      </c>
      <c r="K21" t="s">
        <v>520</v>
      </c>
      <c r="L21">
        <v>33.5</v>
      </c>
      <c r="M21">
        <v>34.299999999999997</v>
      </c>
      <c r="N21">
        <v>35.65</v>
      </c>
      <c r="O21">
        <v>35.799999999999997</v>
      </c>
      <c r="P21">
        <v>38.700000000000003</v>
      </c>
    </row>
    <row r="22" spans="1:16">
      <c r="A22" t="s">
        <v>555</v>
      </c>
      <c r="B22">
        <f>(P22-$K$6-$K$7*$K$8*$K$9)*$L$28-$H$46</f>
        <v>5.1418986111111167</v>
      </c>
      <c r="C22">
        <f>(P22-$K$6-$K$7*$K$8*$K$9)*$L$29-$H$47</f>
        <v>2.4966444444444562</v>
      </c>
      <c r="D22">
        <f>(P22-$K$6-$K$7*$K$8*$K$9)*$L$30-$H$48</f>
        <v>1.4807638888889016</v>
      </c>
      <c r="E22">
        <f>(P22-$K$6-$K$7*$K$8*$K$9)*$L$31-$H$49</f>
        <v>6.4226944444444527</v>
      </c>
      <c r="F22">
        <f>(P22-$K$6-$K$7*$K$8*$K$9+$K$10)*$L$32-$H$50</f>
        <v>38.247500000000016</v>
      </c>
      <c r="G22">
        <f>12*10</f>
        <v>120</v>
      </c>
      <c r="J22" t="s">
        <v>528</v>
      </c>
      <c r="K22" t="s">
        <v>520</v>
      </c>
      <c r="L22">
        <v>26.2</v>
      </c>
      <c r="M22">
        <v>26.3</v>
      </c>
      <c r="N22">
        <v>27.5</v>
      </c>
      <c r="O22">
        <v>27.65</v>
      </c>
      <c r="P22">
        <v>30.1</v>
      </c>
    </row>
    <row r="26" spans="1:16">
      <c r="I26" t="s">
        <v>49</v>
      </c>
      <c r="J26" t="s">
        <v>574</v>
      </c>
      <c r="K26" t="e" vm="1">
        <v>#VALUE!</v>
      </c>
    </row>
    <row r="28" spans="1:16">
      <c r="I28" t="s">
        <v>529</v>
      </c>
      <c r="J28">
        <v>25.81</v>
      </c>
      <c r="K28">
        <v>2.5093100000000002</v>
      </c>
      <c r="L28">
        <f>J28*0.35/3.6</f>
        <v>2.5093055555555552</v>
      </c>
    </row>
    <row r="29" spans="1:16">
      <c r="I29" t="s">
        <v>530</v>
      </c>
      <c r="J29">
        <v>25.12</v>
      </c>
      <c r="K29">
        <v>2.4422199999999998</v>
      </c>
      <c r="L29">
        <f>J29*0.35/3.6</f>
        <v>2.4422222222222221</v>
      </c>
    </row>
    <row r="30" spans="1:16">
      <c r="I30" t="s">
        <v>531</v>
      </c>
      <c r="J30">
        <v>24.5</v>
      </c>
      <c r="K30">
        <v>2.3819400000000002</v>
      </c>
      <c r="L30">
        <f>J30*0.35/3.6</f>
        <v>2.3819444444444442</v>
      </c>
    </row>
    <row r="31" spans="1:16">
      <c r="I31" t="s">
        <v>532</v>
      </c>
      <c r="J31">
        <v>26.2</v>
      </c>
      <c r="K31">
        <v>2.5472199999999998</v>
      </c>
      <c r="L31">
        <f>J31*0.35/3.6</f>
        <v>2.5472222222222221</v>
      </c>
    </row>
    <row r="32" spans="1:16">
      <c r="I32" t="s">
        <v>575</v>
      </c>
      <c r="J32">
        <v>18</v>
      </c>
      <c r="K32">
        <v>1.75</v>
      </c>
      <c r="L32">
        <f>J32*0.35/3.6</f>
        <v>1.75</v>
      </c>
    </row>
    <row r="36" spans="7:12">
      <c r="I36" t="s">
        <v>576</v>
      </c>
    </row>
    <row r="37" spans="7:12">
      <c r="I37" t="s">
        <v>49</v>
      </c>
      <c r="J37" t="s">
        <v>577</v>
      </c>
      <c r="K37" t="s">
        <v>578</v>
      </c>
      <c r="L37" t="s">
        <v>579</v>
      </c>
    </row>
    <row r="38" spans="7:12">
      <c r="I38" t="s">
        <v>529</v>
      </c>
      <c r="J38">
        <v>1.38</v>
      </c>
      <c r="K38">
        <v>1.38E-2</v>
      </c>
      <c r="L38">
        <f>K38*(1-95%)</f>
        <v>6.9000000000000062E-4</v>
      </c>
    </row>
    <row r="39" spans="7:12">
      <c r="I39" t="s">
        <v>530</v>
      </c>
      <c r="J39">
        <v>0.7</v>
      </c>
      <c r="K39">
        <v>7.0000000000000001E-3</v>
      </c>
      <c r="L39">
        <f>K39*(1-95%)</f>
        <v>3.5000000000000032E-4</v>
      </c>
    </row>
    <row r="40" spans="7:12">
      <c r="I40" t="s">
        <v>531</v>
      </c>
      <c r="J40">
        <v>0.35</v>
      </c>
      <c r="K40">
        <v>3.5000000000000001E-3</v>
      </c>
      <c r="L40">
        <f>K40*(1-95%)</f>
        <v>1.7500000000000016E-4</v>
      </c>
    </row>
    <row r="41" spans="7:12">
      <c r="I41" t="s">
        <v>532</v>
      </c>
      <c r="J41">
        <v>1.72</v>
      </c>
      <c r="K41">
        <v>1.72E-2</v>
      </c>
      <c r="L41">
        <f>K41*(1-95%)</f>
        <v>8.6000000000000074E-4</v>
      </c>
    </row>
    <row r="42" spans="7:12">
      <c r="I42" t="s">
        <v>575</v>
      </c>
      <c r="J42">
        <v>0.01</v>
      </c>
      <c r="K42">
        <v>1E-4</v>
      </c>
      <c r="L42">
        <f>K42*(1-95%)</f>
        <v>5.0000000000000046E-6</v>
      </c>
    </row>
    <row r="45" spans="7:12">
      <c r="G45" t="s">
        <v>49</v>
      </c>
      <c r="H45" t="s">
        <v>580</v>
      </c>
      <c r="I45" t="s">
        <v>581</v>
      </c>
      <c r="J45" t="s">
        <v>582</v>
      </c>
    </row>
    <row r="46" spans="7:12">
      <c r="G46" t="s">
        <v>583</v>
      </c>
      <c r="H46">
        <v>42.56</v>
      </c>
      <c r="I46">
        <v>25.81</v>
      </c>
      <c r="J46">
        <v>1.38</v>
      </c>
    </row>
    <row r="47" spans="7:12">
      <c r="G47" t="s">
        <v>584</v>
      </c>
      <c r="H47">
        <v>43.93</v>
      </c>
      <c r="I47">
        <v>25.12</v>
      </c>
      <c r="J47">
        <v>0.7</v>
      </c>
    </row>
    <row r="48" spans="7:12">
      <c r="G48" t="s">
        <v>585</v>
      </c>
      <c r="H48">
        <v>43.8</v>
      </c>
      <c r="I48">
        <v>24.5</v>
      </c>
      <c r="J48">
        <v>0.35</v>
      </c>
    </row>
    <row r="49" spans="7:24">
      <c r="G49" t="s">
        <v>586</v>
      </c>
      <c r="H49">
        <v>42</v>
      </c>
      <c r="I49">
        <v>26.2</v>
      </c>
      <c r="J49">
        <v>1.72</v>
      </c>
    </row>
    <row r="50" spans="7:24">
      <c r="G50" t="s">
        <v>54</v>
      </c>
      <c r="H50">
        <v>73.77</v>
      </c>
      <c r="I50">
        <v>18</v>
      </c>
      <c r="J50">
        <v>0.01</v>
      </c>
    </row>
    <row r="56" spans="7:24">
      <c r="G56" t="s">
        <v>587</v>
      </c>
      <c r="M56" t="s">
        <v>45</v>
      </c>
      <c r="Q56" t="s">
        <v>587</v>
      </c>
      <c r="W56" t="s">
        <v>45</v>
      </c>
    </row>
    <row r="57" spans="7:24">
      <c r="G57" t="s">
        <v>588</v>
      </c>
      <c r="H57" t="s">
        <v>589</v>
      </c>
      <c r="I57" t="s">
        <v>590</v>
      </c>
      <c r="J57" t="s">
        <v>483</v>
      </c>
      <c r="K57" t="s">
        <v>591</v>
      </c>
      <c r="L57" t="s">
        <v>54</v>
      </c>
      <c r="M57" t="s">
        <v>573</v>
      </c>
      <c r="Q57" t="s">
        <v>588</v>
      </c>
      <c r="R57" t="s">
        <v>589</v>
      </c>
      <c r="S57" t="s">
        <v>590</v>
      </c>
      <c r="T57" t="s">
        <v>483</v>
      </c>
      <c r="U57" t="s">
        <v>591</v>
      </c>
      <c r="V57" t="s">
        <v>54</v>
      </c>
      <c r="W57" t="s">
        <v>573</v>
      </c>
    </row>
    <row r="58" spans="7:24">
      <c r="G58" t="s">
        <v>592</v>
      </c>
      <c r="H58">
        <v>93306.543021617355</v>
      </c>
      <c r="I58">
        <v>0</v>
      </c>
      <c r="J58">
        <v>0</v>
      </c>
      <c r="K58">
        <v>0</v>
      </c>
      <c r="L58">
        <v>14865.690588814467</v>
      </c>
      <c r="M58">
        <v>264</v>
      </c>
      <c r="N58" t="s">
        <v>514</v>
      </c>
      <c r="Q58" t="s">
        <v>592</v>
      </c>
      <c r="R58">
        <f>H58*$L$28</f>
        <v>234134.62677382785</v>
      </c>
      <c r="S58">
        <f>I58*$L$29</f>
        <v>0</v>
      </c>
      <c r="T58">
        <f>J58*$L$30</f>
        <v>0</v>
      </c>
      <c r="U58">
        <f>K58*$L$31</f>
        <v>0</v>
      </c>
      <c r="V58">
        <f>L58*$L$32</f>
        <v>26014.958530425316</v>
      </c>
      <c r="W58">
        <v>264</v>
      </c>
      <c r="X58" t="s">
        <v>514</v>
      </c>
    </row>
    <row r="59" spans="7:24">
      <c r="G59" t="s">
        <v>593</v>
      </c>
      <c r="H59">
        <v>0</v>
      </c>
      <c r="I59">
        <v>0</v>
      </c>
      <c r="J59">
        <v>0</v>
      </c>
      <c r="K59">
        <v>0</v>
      </c>
      <c r="L59">
        <v>0</v>
      </c>
      <c r="M59">
        <v>264</v>
      </c>
      <c r="Q59" t="s">
        <v>593</v>
      </c>
      <c r="R59">
        <f>H59*$L$28</f>
        <v>0</v>
      </c>
      <c r="S59">
        <f>I59*$L$29</f>
        <v>0</v>
      </c>
      <c r="T59">
        <f>J59*$L$30</f>
        <v>0</v>
      </c>
      <c r="U59">
        <f>K59*$L$31</f>
        <v>0</v>
      </c>
      <c r="V59">
        <f>L59*$L$32</f>
        <v>0</v>
      </c>
      <c r="W59">
        <v>264</v>
      </c>
    </row>
    <row r="60" spans="7:24">
      <c r="G60" t="s">
        <v>594</v>
      </c>
      <c r="H60">
        <v>37699.606664780353</v>
      </c>
      <c r="I60">
        <v>0</v>
      </c>
      <c r="J60">
        <v>0</v>
      </c>
      <c r="K60">
        <v>0</v>
      </c>
      <c r="L60">
        <v>0</v>
      </c>
      <c r="M60">
        <v>96</v>
      </c>
      <c r="Q60" t="s">
        <v>594</v>
      </c>
      <c r="R60">
        <f>H60*$L$28</f>
        <v>94599.83244619258</v>
      </c>
      <c r="S60">
        <f>I60*$L$29</f>
        <v>0</v>
      </c>
      <c r="T60">
        <f>J60*$L$30</f>
        <v>0</v>
      </c>
      <c r="U60">
        <f>K60*$L$31</f>
        <v>0</v>
      </c>
      <c r="V60">
        <f>L60*$L$32</f>
        <v>0</v>
      </c>
      <c r="W60">
        <v>96</v>
      </c>
    </row>
    <row r="61" spans="7:24">
      <c r="G61" t="s">
        <v>595</v>
      </c>
      <c r="H61">
        <v>0</v>
      </c>
      <c r="I61">
        <v>0</v>
      </c>
      <c r="J61">
        <v>0</v>
      </c>
      <c r="K61">
        <v>0</v>
      </c>
      <c r="L61">
        <v>0</v>
      </c>
      <c r="M61">
        <v>96</v>
      </c>
      <c r="Q61" t="s">
        <v>595</v>
      </c>
      <c r="R61">
        <f>H61*$L$28</f>
        <v>0</v>
      </c>
      <c r="S61">
        <f>I61*$L$29</f>
        <v>0</v>
      </c>
      <c r="T61">
        <f>J61*$L$30</f>
        <v>0</v>
      </c>
      <c r="U61">
        <f>K61*$L$31</f>
        <v>0</v>
      </c>
      <c r="V61">
        <f>L61*$L$32</f>
        <v>0</v>
      </c>
      <c r="W61">
        <v>96</v>
      </c>
    </row>
    <row r="62" spans="7:24">
      <c r="G62" t="s">
        <v>596</v>
      </c>
      <c r="H62">
        <v>103723.41143517026</v>
      </c>
      <c r="I62">
        <v>0</v>
      </c>
      <c r="J62">
        <v>0</v>
      </c>
      <c r="K62">
        <v>0</v>
      </c>
      <c r="L62">
        <v>0</v>
      </c>
      <c r="M62">
        <v>264</v>
      </c>
      <c r="N62" t="s">
        <v>515</v>
      </c>
      <c r="Q62" t="s">
        <v>596</v>
      </c>
      <c r="R62">
        <f>H62*$L$28</f>
        <v>260273.73255544735</v>
      </c>
      <c r="S62">
        <f>I62*$L$29</f>
        <v>0</v>
      </c>
      <c r="T62">
        <f>J62*$L$30</f>
        <v>0</v>
      </c>
      <c r="U62">
        <f>K62*$L$31</f>
        <v>0</v>
      </c>
      <c r="V62">
        <f>L62*$L$32</f>
        <v>0</v>
      </c>
      <c r="W62">
        <v>264</v>
      </c>
      <c r="X62" t="s">
        <v>515</v>
      </c>
    </row>
    <row r="63" spans="7:24">
      <c r="G63" t="s">
        <v>597</v>
      </c>
      <c r="H63">
        <v>0</v>
      </c>
      <c r="I63">
        <v>0</v>
      </c>
      <c r="J63">
        <v>0</v>
      </c>
      <c r="K63">
        <v>0</v>
      </c>
      <c r="L63">
        <v>0</v>
      </c>
      <c r="M63">
        <v>264</v>
      </c>
      <c r="Q63" t="s">
        <v>597</v>
      </c>
      <c r="R63">
        <f>H63*$L$28</f>
        <v>0</v>
      </c>
      <c r="S63">
        <f>I63*$L$29</f>
        <v>0</v>
      </c>
      <c r="T63">
        <f>J63*$L$30</f>
        <v>0</v>
      </c>
      <c r="U63">
        <f>K63*$L$31</f>
        <v>0</v>
      </c>
      <c r="V63">
        <f>L63*$L$32</f>
        <v>0</v>
      </c>
      <c r="W63">
        <v>264</v>
      </c>
    </row>
    <row r="64" spans="7:24">
      <c r="G64" t="s">
        <v>598</v>
      </c>
      <c r="H64">
        <v>42432.3046780242</v>
      </c>
      <c r="I64">
        <v>0</v>
      </c>
      <c r="J64">
        <v>0</v>
      </c>
      <c r="K64">
        <v>0</v>
      </c>
      <c r="L64">
        <v>0</v>
      </c>
      <c r="M64">
        <v>108</v>
      </c>
      <c r="Q64" t="s">
        <v>598</v>
      </c>
      <c r="R64">
        <f>H64*$L$28</f>
        <v>106475.6178635921</v>
      </c>
      <c r="S64">
        <f>I64*$L$29</f>
        <v>0</v>
      </c>
      <c r="T64">
        <f>J64*$L$30</f>
        <v>0</v>
      </c>
      <c r="U64">
        <f>K64*$L$31</f>
        <v>0</v>
      </c>
      <c r="V64">
        <f>L64*$L$32</f>
        <v>0</v>
      </c>
      <c r="W64">
        <v>108</v>
      </c>
    </row>
    <row r="65" spans="7:24">
      <c r="G65" t="s">
        <v>599</v>
      </c>
      <c r="H65">
        <v>0</v>
      </c>
      <c r="I65">
        <v>0</v>
      </c>
      <c r="J65">
        <v>0</v>
      </c>
      <c r="K65">
        <v>0</v>
      </c>
      <c r="L65">
        <v>0</v>
      </c>
      <c r="M65">
        <v>108</v>
      </c>
      <c r="Q65" t="s">
        <v>599</v>
      </c>
      <c r="R65">
        <f>H65*$L$28</f>
        <v>0</v>
      </c>
      <c r="S65">
        <f>I65*$L$29</f>
        <v>0</v>
      </c>
      <c r="T65">
        <f>J65*$L$30</f>
        <v>0</v>
      </c>
      <c r="U65">
        <f>K65*$L$31</f>
        <v>0</v>
      </c>
      <c r="V65">
        <f>L65*$L$32</f>
        <v>0</v>
      </c>
      <c r="W65">
        <v>108</v>
      </c>
    </row>
    <row r="66" spans="7:24">
      <c r="G66" t="s">
        <v>600</v>
      </c>
      <c r="H66">
        <v>103723.41143517026</v>
      </c>
      <c r="I66">
        <v>0</v>
      </c>
      <c r="J66">
        <v>0</v>
      </c>
      <c r="K66">
        <v>0</v>
      </c>
      <c r="L66">
        <v>0</v>
      </c>
      <c r="M66">
        <v>264</v>
      </c>
      <c r="N66" t="s">
        <v>516</v>
      </c>
      <c r="Q66" t="s">
        <v>600</v>
      </c>
      <c r="R66">
        <f>H66*$L$28</f>
        <v>260273.73255544735</v>
      </c>
      <c r="S66">
        <f>I66*$L$29</f>
        <v>0</v>
      </c>
      <c r="T66">
        <f>J66*$L$30</f>
        <v>0</v>
      </c>
      <c r="U66">
        <f>K66*$L$31</f>
        <v>0</v>
      </c>
      <c r="V66">
        <f>L66*$L$32</f>
        <v>0</v>
      </c>
      <c r="W66">
        <v>264</v>
      </c>
      <c r="X66" t="s">
        <v>516</v>
      </c>
    </row>
    <row r="67" spans="7:24">
      <c r="G67" t="s">
        <v>601</v>
      </c>
      <c r="H67">
        <v>103723.41143517026</v>
      </c>
      <c r="I67">
        <v>0</v>
      </c>
      <c r="J67">
        <v>0</v>
      </c>
      <c r="K67">
        <v>0</v>
      </c>
      <c r="L67">
        <v>0</v>
      </c>
      <c r="M67">
        <v>264</v>
      </c>
      <c r="Q67" t="s">
        <v>601</v>
      </c>
      <c r="R67">
        <f>H67*$L$28</f>
        <v>260273.73255544735</v>
      </c>
      <c r="S67">
        <f>I67*$L$29</f>
        <v>0</v>
      </c>
      <c r="T67">
        <f>J67*$L$30</f>
        <v>0</v>
      </c>
      <c r="U67">
        <f>K67*$L$31</f>
        <v>0</v>
      </c>
      <c r="V67">
        <f>L67*$L$32</f>
        <v>0</v>
      </c>
      <c r="W67">
        <v>264</v>
      </c>
    </row>
    <row r="68" spans="7:24">
      <c r="G68" t="s">
        <v>602</v>
      </c>
      <c r="H68">
        <v>42432.3046780242</v>
      </c>
      <c r="I68">
        <v>0</v>
      </c>
      <c r="J68">
        <v>0</v>
      </c>
      <c r="K68">
        <v>0</v>
      </c>
      <c r="L68">
        <v>0</v>
      </c>
      <c r="M68">
        <v>108</v>
      </c>
      <c r="Q68" t="s">
        <v>602</v>
      </c>
      <c r="R68">
        <f>H68*$L$28</f>
        <v>106475.6178635921</v>
      </c>
      <c r="S68">
        <f>I68*$L$29</f>
        <v>0</v>
      </c>
      <c r="T68">
        <f>J68*$L$30</f>
        <v>0</v>
      </c>
      <c r="U68">
        <f>K68*$L$31</f>
        <v>0</v>
      </c>
      <c r="V68">
        <f>L68*$L$32</f>
        <v>0</v>
      </c>
      <c r="W68">
        <v>108</v>
      </c>
    </row>
    <row r="69" spans="7:24">
      <c r="G69" t="s">
        <v>603</v>
      </c>
      <c r="H69">
        <v>0</v>
      </c>
      <c r="I69">
        <v>0</v>
      </c>
      <c r="J69">
        <v>0</v>
      </c>
      <c r="K69">
        <v>0</v>
      </c>
      <c r="L69">
        <v>0</v>
      </c>
      <c r="M69">
        <v>108</v>
      </c>
      <c r="Q69" t="s">
        <v>603</v>
      </c>
      <c r="R69">
        <f>H69*$L$28</f>
        <v>0</v>
      </c>
      <c r="S69">
        <f>I69*$L$29</f>
        <v>0</v>
      </c>
      <c r="T69">
        <f>J69*$L$30</f>
        <v>0</v>
      </c>
      <c r="U69">
        <f>K69*$L$31</f>
        <v>0</v>
      </c>
      <c r="V69">
        <f>L69*$L$32</f>
        <v>0</v>
      </c>
      <c r="W69">
        <v>108</v>
      </c>
    </row>
    <row r="70" spans="7:24">
      <c r="G70" t="s">
        <v>604</v>
      </c>
      <c r="H70">
        <v>0</v>
      </c>
      <c r="I70">
        <v>0</v>
      </c>
      <c r="J70">
        <v>0</v>
      </c>
      <c r="K70">
        <v>102130.95060497329</v>
      </c>
      <c r="L70">
        <v>0</v>
      </c>
      <c r="M70">
        <v>264</v>
      </c>
      <c r="N70" t="s">
        <v>517</v>
      </c>
      <c r="Q70" t="s">
        <v>604</v>
      </c>
      <c r="R70">
        <f>H70*$L$28</f>
        <v>0</v>
      </c>
      <c r="S70">
        <f>I70*$L$29</f>
        <v>0</v>
      </c>
      <c r="T70">
        <f>J70*$L$30</f>
        <v>0</v>
      </c>
      <c r="U70">
        <f>K70*$L$31</f>
        <v>260150.22695766806</v>
      </c>
      <c r="V70">
        <f>L70*$L$32</f>
        <v>0</v>
      </c>
      <c r="W70">
        <v>264</v>
      </c>
      <c r="X70" t="s">
        <v>517</v>
      </c>
    </row>
    <row r="71" spans="7:24">
      <c r="G71" t="s">
        <v>605</v>
      </c>
      <c r="H71">
        <v>0</v>
      </c>
      <c r="I71">
        <v>0</v>
      </c>
      <c r="J71">
        <v>0</v>
      </c>
      <c r="K71">
        <v>102130.95060497329</v>
      </c>
      <c r="L71">
        <v>0</v>
      </c>
      <c r="M71">
        <v>264</v>
      </c>
      <c r="Q71" t="s">
        <v>605</v>
      </c>
      <c r="R71">
        <f>H71*$L$28</f>
        <v>0</v>
      </c>
      <c r="S71">
        <f>I71*$L$29</f>
        <v>0</v>
      </c>
      <c r="T71">
        <f>J71*$L$30</f>
        <v>0</v>
      </c>
      <c r="U71">
        <f>K71*$L$31</f>
        <v>260150.22695766806</v>
      </c>
      <c r="V71">
        <f>L71*$L$32</f>
        <v>0</v>
      </c>
      <c r="W71">
        <v>264</v>
      </c>
    </row>
    <row r="72" spans="7:24">
      <c r="G72" t="s">
        <v>606</v>
      </c>
      <c r="H72">
        <v>0</v>
      </c>
      <c r="I72">
        <v>0</v>
      </c>
      <c r="J72">
        <v>0</v>
      </c>
      <c r="K72">
        <v>37138.527492717556</v>
      </c>
      <c r="L72">
        <v>0</v>
      </c>
      <c r="M72">
        <v>96</v>
      </c>
      <c r="Q72" t="s">
        <v>606</v>
      </c>
      <c r="R72">
        <f>H72*$L$28</f>
        <v>0</v>
      </c>
      <c r="S72">
        <f>I72*$L$29</f>
        <v>0</v>
      </c>
      <c r="T72">
        <f>J72*$L$30</f>
        <v>0</v>
      </c>
      <c r="U72">
        <f>K72*$L$31</f>
        <v>94600.082530061103</v>
      </c>
      <c r="V72">
        <f>L72*$L$32</f>
        <v>0</v>
      </c>
      <c r="W72">
        <v>96</v>
      </c>
    </row>
    <row r="73" spans="7:24">
      <c r="G73" t="s">
        <v>607</v>
      </c>
      <c r="H73">
        <v>0</v>
      </c>
      <c r="I73">
        <v>0</v>
      </c>
      <c r="J73">
        <v>0</v>
      </c>
      <c r="K73">
        <v>37138.527492717556</v>
      </c>
      <c r="L73">
        <v>0</v>
      </c>
      <c r="M73">
        <v>96</v>
      </c>
      <c r="Q73" t="s">
        <v>607</v>
      </c>
      <c r="R73">
        <f>H73*$L$28</f>
        <v>0</v>
      </c>
      <c r="S73">
        <f>I73*$L$29</f>
        <v>0</v>
      </c>
      <c r="T73">
        <f>J73*$L$30</f>
        <v>0</v>
      </c>
      <c r="U73">
        <f>K73*$L$31</f>
        <v>94600.082530061103</v>
      </c>
      <c r="V73">
        <f>L73*$L$32</f>
        <v>0</v>
      </c>
      <c r="W73">
        <v>96</v>
      </c>
    </row>
    <row r="74" spans="7:24">
      <c r="G74" t="s">
        <v>608</v>
      </c>
      <c r="H74">
        <v>0</v>
      </c>
      <c r="I74">
        <v>0</v>
      </c>
      <c r="J74">
        <v>0</v>
      </c>
      <c r="K74">
        <v>97535.174970005275</v>
      </c>
      <c r="L74">
        <v>0</v>
      </c>
      <c r="M74">
        <v>252</v>
      </c>
      <c r="N74" t="s">
        <v>518</v>
      </c>
      <c r="Q74" t="s">
        <v>608</v>
      </c>
      <c r="R74">
        <f>H74*$L$28</f>
        <v>0</v>
      </c>
      <c r="S74">
        <f>I74*$L$29</f>
        <v>0</v>
      </c>
      <c r="T74">
        <f>J74*$L$30</f>
        <v>0</v>
      </c>
      <c r="U74">
        <f>K74*$L$31</f>
        <v>248443.76513193009</v>
      </c>
      <c r="V74">
        <f>L74*$L$32</f>
        <v>0</v>
      </c>
      <c r="W74">
        <v>252</v>
      </c>
      <c r="X74" t="s">
        <v>518</v>
      </c>
    </row>
    <row r="75" spans="7:24">
      <c r="G75" t="s">
        <v>609</v>
      </c>
      <c r="H75">
        <v>0</v>
      </c>
      <c r="I75">
        <v>0</v>
      </c>
      <c r="J75">
        <v>0</v>
      </c>
      <c r="K75">
        <v>97535.174970005275</v>
      </c>
      <c r="L75">
        <v>0</v>
      </c>
      <c r="M75">
        <v>252</v>
      </c>
      <c r="Q75" t="s">
        <v>609</v>
      </c>
      <c r="R75">
        <f>H75*$L$28</f>
        <v>0</v>
      </c>
      <c r="S75">
        <f>I75*$L$29</f>
        <v>0</v>
      </c>
      <c r="T75">
        <f>J75*$L$30</f>
        <v>0</v>
      </c>
      <c r="U75">
        <f>K75*$L$31</f>
        <v>248443.76513193009</v>
      </c>
      <c r="V75">
        <f>L75*$L$32</f>
        <v>0</v>
      </c>
      <c r="W75">
        <v>252</v>
      </c>
    </row>
    <row r="76" spans="7:24">
      <c r="G76" t="s">
        <v>610</v>
      </c>
      <c r="H76">
        <v>0</v>
      </c>
      <c r="I76">
        <v>0</v>
      </c>
      <c r="J76">
        <v>0</v>
      </c>
      <c r="K76">
        <v>46445.321414288228</v>
      </c>
      <c r="L76">
        <v>0</v>
      </c>
      <c r="M76">
        <v>120</v>
      </c>
      <c r="Q76" t="s">
        <v>610</v>
      </c>
      <c r="R76">
        <f>H76*$L$28</f>
        <v>0</v>
      </c>
      <c r="S76">
        <f>I76*$L$29</f>
        <v>0</v>
      </c>
      <c r="T76">
        <f>J76*$L$30</f>
        <v>0</v>
      </c>
      <c r="U76">
        <f>K76*$L$31</f>
        <v>118306.55482472862</v>
      </c>
      <c r="V76">
        <f>L76*$L$32</f>
        <v>0</v>
      </c>
      <c r="W76">
        <v>120</v>
      </c>
    </row>
    <row r="77" spans="7:24">
      <c r="G77" t="s">
        <v>611</v>
      </c>
      <c r="H77">
        <v>0</v>
      </c>
      <c r="I77">
        <v>0</v>
      </c>
      <c r="J77">
        <v>0</v>
      </c>
      <c r="K77">
        <v>46445.321414288228</v>
      </c>
      <c r="L77">
        <v>0</v>
      </c>
      <c r="M77">
        <v>120</v>
      </c>
      <c r="Q77" t="s">
        <v>611</v>
      </c>
      <c r="R77">
        <f>H77*$L$28</f>
        <v>0</v>
      </c>
      <c r="S77">
        <f>I77*$L$29</f>
        <v>0</v>
      </c>
      <c r="T77">
        <f>J77*$L$30</f>
        <v>0</v>
      </c>
      <c r="U77">
        <f>K77*$L$31</f>
        <v>118306.55482472862</v>
      </c>
      <c r="V77">
        <f>L77*$L$32</f>
        <v>0</v>
      </c>
      <c r="W77">
        <v>120</v>
      </c>
    </row>
    <row r="78" spans="7:24">
      <c r="G78" t="s">
        <v>612</v>
      </c>
      <c r="H78">
        <v>527040.99334795692</v>
      </c>
      <c r="I78">
        <v>0</v>
      </c>
      <c r="J78">
        <v>0</v>
      </c>
      <c r="K78">
        <v>566499.94896396878</v>
      </c>
      <c r="L78">
        <v>14865.690588814467</v>
      </c>
      <c r="Q78" t="s">
        <v>612</v>
      </c>
      <c r="R78">
        <f>SUM(R58:R77)</f>
        <v>1322506.8926135467</v>
      </c>
      <c r="S78">
        <f>SUM(S58:S77)</f>
        <v>0</v>
      </c>
      <c r="T78">
        <f>SUM(T58:T77)</f>
        <v>0</v>
      </c>
      <c r="U78">
        <f>SUM(U58:U77)</f>
        <v>1443001.2588887755</v>
      </c>
      <c r="V78">
        <f>SUM(V58:V77)</f>
        <v>26014.958530425316</v>
      </c>
      <c r="X78">
        <f>SUM(R78:V78)</f>
        <v>2791523.1100327475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4B01-D051-440F-A83C-350BB0AE1705}">
  <dimension ref="A1:X115"/>
  <sheetViews>
    <sheetView topLeftCell="A78" zoomScale="82" workbookViewId="0">
      <selection activeCell="Q21" sqref="Q21"/>
    </sheetView>
  </sheetViews>
  <sheetFormatPr defaultColWidth="11.42578125" defaultRowHeight="14.25"/>
  <cols>
    <col min="1" max="1" width="22.28515625" bestFit="1" customWidth="1"/>
    <col min="2" max="5" width="9.140625" bestFit="1" customWidth="1"/>
    <col min="6" max="6" width="11.7109375" bestFit="1" customWidth="1"/>
    <col min="7" max="8" width="9.140625" bestFit="1" customWidth="1"/>
    <col min="9" max="9" width="26.7109375" bestFit="1" customWidth="1"/>
    <col min="10" max="10" width="13" bestFit="1" customWidth="1"/>
    <col min="11" max="11" width="27.7109375" bestFit="1" customWidth="1"/>
    <col min="12" max="12" width="19.7109375" bestFit="1" customWidth="1"/>
  </cols>
  <sheetData>
    <row r="1" spans="1:8" ht="24">
      <c r="A1" s="68" t="s">
        <v>477</v>
      </c>
      <c r="B1" s="68"/>
      <c r="C1" s="68"/>
      <c r="D1" s="68"/>
      <c r="E1" s="68"/>
    </row>
    <row r="4" spans="1:8" ht="15.95">
      <c r="A4" s="56" t="s">
        <v>478</v>
      </c>
      <c r="G4" s="56" t="s">
        <v>479</v>
      </c>
    </row>
    <row r="5" spans="1:8" ht="15">
      <c r="A5" t="s">
        <v>480</v>
      </c>
      <c r="B5" t="s">
        <v>481</v>
      </c>
      <c r="C5" t="s">
        <v>482</v>
      </c>
      <c r="D5" t="s">
        <v>483</v>
      </c>
      <c r="E5" t="s">
        <v>484</v>
      </c>
      <c r="F5" t="s">
        <v>485</v>
      </c>
      <c r="G5" t="s">
        <v>486</v>
      </c>
    </row>
    <row r="6" spans="1:8" ht="15.95">
      <c r="A6" t="s">
        <v>487</v>
      </c>
      <c r="B6">
        <v>94424.380393969361</v>
      </c>
      <c r="C6">
        <v>0</v>
      </c>
      <c r="D6">
        <v>0</v>
      </c>
      <c r="E6">
        <v>0</v>
      </c>
      <c r="F6">
        <v>15043.785543014499</v>
      </c>
      <c r="G6">
        <f>12*22</f>
        <v>264</v>
      </c>
      <c r="H6" s="56" t="s">
        <v>488</v>
      </c>
    </row>
    <row r="7" spans="1:8" ht="15">
      <c r="A7" t="s">
        <v>489</v>
      </c>
      <c r="B7">
        <v>0</v>
      </c>
      <c r="C7">
        <v>0</v>
      </c>
      <c r="D7">
        <v>0</v>
      </c>
      <c r="E7">
        <v>0</v>
      </c>
      <c r="F7">
        <v>0</v>
      </c>
      <c r="G7">
        <f>12*22</f>
        <v>264</v>
      </c>
    </row>
    <row r="8" spans="1:8" ht="15">
      <c r="A8" t="s">
        <v>490</v>
      </c>
      <c r="B8">
        <v>38151.258048361233</v>
      </c>
      <c r="C8">
        <v>0</v>
      </c>
      <c r="D8">
        <v>0</v>
      </c>
      <c r="E8">
        <v>0</v>
      </c>
      <c r="F8">
        <v>0</v>
      </c>
      <c r="G8">
        <f>12*8</f>
        <v>96</v>
      </c>
    </row>
    <row r="9" spans="1:8" ht="15">
      <c r="A9" t="s">
        <v>491</v>
      </c>
      <c r="B9">
        <v>0</v>
      </c>
      <c r="C9">
        <v>0</v>
      </c>
      <c r="D9">
        <v>0</v>
      </c>
      <c r="E9">
        <v>0</v>
      </c>
      <c r="F9">
        <v>0</v>
      </c>
      <c r="G9">
        <f>12*8</f>
        <v>96</v>
      </c>
    </row>
    <row r="10" spans="1:8" ht="15.95">
      <c r="A10" t="s">
        <v>492</v>
      </c>
      <c r="B10">
        <v>104925.38689147421</v>
      </c>
      <c r="C10">
        <v>0</v>
      </c>
      <c r="D10">
        <v>0</v>
      </c>
      <c r="E10">
        <v>0</v>
      </c>
      <c r="F10">
        <v>0</v>
      </c>
      <c r="G10">
        <f>22*12</f>
        <v>264</v>
      </c>
      <c r="H10" s="56" t="s">
        <v>493</v>
      </c>
    </row>
    <row r="11" spans="1:8" ht="15">
      <c r="A11" t="s">
        <v>494</v>
      </c>
      <c r="B11">
        <v>0</v>
      </c>
      <c r="C11">
        <v>0</v>
      </c>
      <c r="D11">
        <v>0</v>
      </c>
      <c r="E11">
        <v>0</v>
      </c>
      <c r="F11">
        <v>0</v>
      </c>
      <c r="G11">
        <f>12*22</f>
        <v>264</v>
      </c>
    </row>
    <row r="12" spans="1:8" ht="15">
      <c r="A12" t="s">
        <v>495</v>
      </c>
      <c r="B12">
        <v>42924.021910148535</v>
      </c>
      <c r="C12">
        <v>0</v>
      </c>
      <c r="D12">
        <v>0</v>
      </c>
      <c r="E12">
        <v>0</v>
      </c>
      <c r="F12">
        <v>0</v>
      </c>
      <c r="G12">
        <f>12*9</f>
        <v>108</v>
      </c>
    </row>
    <row r="13" spans="1:8" ht="15">
      <c r="A13" t="s">
        <v>496</v>
      </c>
      <c r="B13">
        <v>0</v>
      </c>
      <c r="C13">
        <v>0</v>
      </c>
      <c r="D13">
        <v>0</v>
      </c>
      <c r="E13">
        <v>0</v>
      </c>
      <c r="F13">
        <v>0</v>
      </c>
      <c r="G13">
        <f>12*9</f>
        <v>108</v>
      </c>
    </row>
    <row r="14" spans="1:8" ht="15.95">
      <c r="A14" t="s">
        <v>497</v>
      </c>
      <c r="B14">
        <v>104925.38689147421</v>
      </c>
      <c r="C14">
        <v>0</v>
      </c>
      <c r="D14">
        <v>0</v>
      </c>
      <c r="E14">
        <v>0</v>
      </c>
      <c r="F14">
        <v>0</v>
      </c>
      <c r="G14">
        <f>12*22</f>
        <v>264</v>
      </c>
      <c r="H14" s="56" t="s">
        <v>498</v>
      </c>
    </row>
    <row r="15" spans="1:8" ht="15">
      <c r="A15" t="s">
        <v>499</v>
      </c>
      <c r="B15">
        <v>104925.38689147421</v>
      </c>
      <c r="C15">
        <v>0</v>
      </c>
      <c r="D15">
        <v>0</v>
      </c>
      <c r="E15">
        <v>0</v>
      </c>
      <c r="F15">
        <v>0</v>
      </c>
      <c r="G15">
        <f>12*22</f>
        <v>264</v>
      </c>
    </row>
    <row r="16" spans="1:8" ht="15">
      <c r="A16" t="s">
        <v>500</v>
      </c>
      <c r="B16">
        <v>42924.021910148535</v>
      </c>
      <c r="C16">
        <v>0</v>
      </c>
      <c r="D16">
        <v>0</v>
      </c>
      <c r="E16">
        <v>0</v>
      </c>
      <c r="F16">
        <v>0</v>
      </c>
      <c r="G16">
        <f>12*9</f>
        <v>108</v>
      </c>
    </row>
    <row r="17" spans="1:8" ht="15">
      <c r="A17" t="s">
        <v>501</v>
      </c>
      <c r="B17">
        <v>0</v>
      </c>
      <c r="C17">
        <v>0</v>
      </c>
      <c r="D17">
        <v>0</v>
      </c>
      <c r="E17">
        <v>0</v>
      </c>
      <c r="F17">
        <v>0</v>
      </c>
      <c r="G17">
        <f>12*9</f>
        <v>108</v>
      </c>
    </row>
    <row r="18" spans="1:8" ht="15.95">
      <c r="A18" t="s">
        <v>502</v>
      </c>
      <c r="B18">
        <v>0</v>
      </c>
      <c r="C18">
        <v>0</v>
      </c>
      <c r="D18">
        <v>0</v>
      </c>
      <c r="E18">
        <v>103354.50674329927</v>
      </c>
      <c r="F18">
        <v>0</v>
      </c>
      <c r="G18">
        <f>12*22</f>
        <v>264</v>
      </c>
      <c r="H18" s="56" t="s">
        <v>503</v>
      </c>
    </row>
    <row r="19" spans="1:8" ht="15">
      <c r="A19" t="s">
        <v>504</v>
      </c>
      <c r="B19">
        <v>0</v>
      </c>
      <c r="C19">
        <v>0</v>
      </c>
      <c r="D19">
        <v>0</v>
      </c>
      <c r="E19">
        <v>103354.50674329927</v>
      </c>
      <c r="F19">
        <v>0</v>
      </c>
      <c r="G19">
        <f>12*22</f>
        <v>264</v>
      </c>
    </row>
    <row r="20" spans="1:8" ht="15">
      <c r="A20" t="s">
        <v>505</v>
      </c>
      <c r="B20">
        <v>0</v>
      </c>
      <c r="C20">
        <v>0</v>
      </c>
      <c r="D20">
        <v>0</v>
      </c>
      <c r="E20">
        <v>37583.456997563364</v>
      </c>
      <c r="F20">
        <v>0</v>
      </c>
      <c r="G20">
        <f>12*8</f>
        <v>96</v>
      </c>
    </row>
    <row r="21" spans="1:8" ht="15">
      <c r="A21" t="s">
        <v>506</v>
      </c>
      <c r="B21">
        <v>0</v>
      </c>
      <c r="C21" s="54">
        <v>0</v>
      </c>
      <c r="D21">
        <v>0</v>
      </c>
      <c r="E21">
        <v>37583.456997563364</v>
      </c>
      <c r="F21">
        <v>0</v>
      </c>
      <c r="G21">
        <f>12*8</f>
        <v>96</v>
      </c>
    </row>
    <row r="22" spans="1:8" ht="15.95">
      <c r="A22" t="s">
        <v>507</v>
      </c>
      <c r="B22">
        <v>0</v>
      </c>
      <c r="C22">
        <v>0</v>
      </c>
      <c r="D22">
        <v>0</v>
      </c>
      <c r="E22">
        <v>98665.439437960347</v>
      </c>
      <c r="F22">
        <v>0</v>
      </c>
      <c r="G22">
        <f>21*12</f>
        <v>252</v>
      </c>
      <c r="H22" s="56" t="s">
        <v>508</v>
      </c>
    </row>
    <row r="23" spans="1:8" ht="15">
      <c r="A23" t="s">
        <v>509</v>
      </c>
      <c r="B23">
        <v>0</v>
      </c>
      <c r="C23">
        <v>0</v>
      </c>
      <c r="D23">
        <v>0</v>
      </c>
      <c r="E23">
        <v>98665.439437960347</v>
      </c>
      <c r="F23">
        <v>0</v>
      </c>
      <c r="G23">
        <f>21*12</f>
        <v>252</v>
      </c>
    </row>
    <row r="24" spans="1:8" ht="15">
      <c r="A24" t="s">
        <v>510</v>
      </c>
      <c r="B24">
        <v>0</v>
      </c>
      <c r="C24">
        <v>0</v>
      </c>
      <c r="D24">
        <v>0</v>
      </c>
      <c r="E24">
        <v>46983.542589504927</v>
      </c>
      <c r="F24">
        <v>0</v>
      </c>
      <c r="G24">
        <f>12*10</f>
        <v>120</v>
      </c>
    </row>
    <row r="25" spans="1:8" ht="15">
      <c r="A25" t="s">
        <v>511</v>
      </c>
      <c r="B25">
        <v>0</v>
      </c>
      <c r="C25">
        <v>0</v>
      </c>
      <c r="D25">
        <v>0</v>
      </c>
      <c r="E25">
        <v>46983.542589504927</v>
      </c>
      <c r="F25">
        <v>0</v>
      </c>
      <c r="G25">
        <f>12*10</f>
        <v>120</v>
      </c>
    </row>
    <row r="26" spans="1:8" ht="15.95">
      <c r="A26" s="56" t="s">
        <v>512</v>
      </c>
      <c r="B26">
        <f>SUM(B6:B25)</f>
        <v>533199.84293705027</v>
      </c>
      <c r="C26">
        <f>SUM(C6:C25)</f>
        <v>0</v>
      </c>
      <c r="D26">
        <f>SUM(D6:D25)</f>
        <v>0</v>
      </c>
      <c r="E26">
        <f>SUM(E6:E25)</f>
        <v>573173.89153665584</v>
      </c>
      <c r="F26">
        <f>SUM(F6:F25)</f>
        <v>15043.785543014499</v>
      </c>
    </row>
    <row r="34" spans="1:24" ht="15">
      <c r="R34" s="80" t="s">
        <v>45</v>
      </c>
      <c r="S34" s="80" t="s">
        <v>513</v>
      </c>
      <c r="T34" s="80" t="s">
        <v>514</v>
      </c>
      <c r="U34" s="80" t="s">
        <v>515</v>
      </c>
      <c r="V34" s="80" t="s">
        <v>516</v>
      </c>
      <c r="W34" s="80" t="s">
        <v>517</v>
      </c>
      <c r="X34" s="80" t="s">
        <v>518</v>
      </c>
    </row>
    <row r="35" spans="1:24">
      <c r="R35" t="s">
        <v>519</v>
      </c>
      <c r="S35" t="s">
        <v>520</v>
      </c>
      <c r="T35">
        <v>36</v>
      </c>
      <c r="U35">
        <v>36.35</v>
      </c>
      <c r="V35">
        <v>37.65</v>
      </c>
      <c r="W35">
        <v>38.35</v>
      </c>
      <c r="X35">
        <v>43.7</v>
      </c>
    </row>
    <row r="36" spans="1:24">
      <c r="R36" t="s">
        <v>521</v>
      </c>
      <c r="S36" t="s">
        <v>520</v>
      </c>
      <c r="T36">
        <v>27</v>
      </c>
      <c r="U36">
        <v>27</v>
      </c>
      <c r="V36">
        <v>28.2</v>
      </c>
      <c r="W36">
        <v>28.5</v>
      </c>
      <c r="X36">
        <v>31.7</v>
      </c>
    </row>
    <row r="37" spans="1:24" ht="15">
      <c r="I37" t="s">
        <v>613</v>
      </c>
      <c r="J37" t="s">
        <v>523</v>
      </c>
      <c r="K37" t="s">
        <v>614</v>
      </c>
      <c r="R37" t="s">
        <v>525</v>
      </c>
      <c r="S37" t="s">
        <v>520</v>
      </c>
      <c r="T37">
        <v>33.5</v>
      </c>
      <c r="U37">
        <v>34.299999999999997</v>
      </c>
      <c r="V37">
        <v>35.65</v>
      </c>
      <c r="W37">
        <v>35.799999999999997</v>
      </c>
      <c r="X37">
        <v>38.700000000000003</v>
      </c>
    </row>
    <row r="38" spans="1:24" ht="15.95">
      <c r="A38" s="56" t="s">
        <v>526</v>
      </c>
      <c r="G38" s="56" t="s">
        <v>512</v>
      </c>
      <c r="H38">
        <f>SUMPRODUCT($B$6:$F$25,$B$40:$F$59)</f>
        <v>19971639.614851937</v>
      </c>
      <c r="I38" s="57">
        <v>13277240.421</v>
      </c>
      <c r="J38" s="57">
        <f>G92*30</f>
        <v>258273.79718274114</v>
      </c>
      <c r="K38" s="57">
        <f>H38+J38-I38</f>
        <v>6952672.9910346791</v>
      </c>
      <c r="L38" t="s">
        <v>527</v>
      </c>
      <c r="R38" t="s">
        <v>528</v>
      </c>
      <c r="S38" t="s">
        <v>520</v>
      </c>
      <c r="T38">
        <v>26.2</v>
      </c>
      <c r="U38">
        <v>26.3</v>
      </c>
      <c r="V38">
        <v>27.5</v>
      </c>
      <c r="W38">
        <v>27.65</v>
      </c>
      <c r="X38">
        <v>30.1</v>
      </c>
    </row>
    <row r="39" spans="1:24" ht="15.95">
      <c r="A39" s="56"/>
      <c r="B39" t="s">
        <v>529</v>
      </c>
      <c r="C39" t="s">
        <v>530</v>
      </c>
      <c r="D39" t="s">
        <v>531</v>
      </c>
      <c r="E39" t="s">
        <v>532</v>
      </c>
      <c r="F39" t="s">
        <v>533</v>
      </c>
      <c r="J39" s="57">
        <f>G92*40</f>
        <v>344365.06291032152</v>
      </c>
      <c r="K39" s="57">
        <f>H38+J39-I38</f>
        <v>7038764.2567622587</v>
      </c>
      <c r="L39" t="s">
        <v>534</v>
      </c>
    </row>
    <row r="40" spans="1:24" ht="15.95">
      <c r="A40" t="s">
        <v>535</v>
      </c>
      <c r="B40">
        <v>19.946801388888886</v>
      </c>
      <c r="C40">
        <v>16.905755555555558</v>
      </c>
      <c r="D40">
        <v>15.534236111111113</v>
      </c>
      <c r="E40">
        <v>21.451305555555564</v>
      </c>
      <c r="F40">
        <v>48.572500000000005</v>
      </c>
      <c r="H40" s="56" t="s">
        <v>488</v>
      </c>
      <c r="J40" s="57">
        <f>G92*50</f>
        <v>430456.32863790187</v>
      </c>
      <c r="K40" s="57">
        <f>H38+J40-I38</f>
        <v>7124855.5224898383</v>
      </c>
      <c r="L40" t="s">
        <v>536</v>
      </c>
    </row>
    <row r="41" spans="1:24">
      <c r="A41" t="s">
        <v>537</v>
      </c>
      <c r="B41">
        <v>-2.6369486111111158</v>
      </c>
      <c r="C41">
        <v>-5.0742444444444388</v>
      </c>
      <c r="D41">
        <v>-5.9032638888888869</v>
      </c>
      <c r="E41">
        <v>-1.4736944444444404</v>
      </c>
      <c r="F41">
        <v>32.822500000000005</v>
      </c>
    </row>
    <row r="42" spans="1:24">
      <c r="A42" t="s">
        <v>538</v>
      </c>
      <c r="B42">
        <v>13.673537500000002</v>
      </c>
      <c r="C42">
        <v>10.800200000000004</v>
      </c>
      <c r="D42">
        <v>9.579375000000006</v>
      </c>
      <c r="E42">
        <v>15.083250000000007</v>
      </c>
      <c r="F42">
        <v>44.197500000000005</v>
      </c>
      <c r="K42" s="57"/>
    </row>
    <row r="43" spans="1:24">
      <c r="A43" t="s">
        <v>539</v>
      </c>
      <c r="B43">
        <v>-4.644393055555561</v>
      </c>
      <c r="C43">
        <v>-7.0280222222222193</v>
      </c>
      <c r="D43">
        <v>-7.8088194444444454</v>
      </c>
      <c r="E43">
        <v>-3.5114722222222241</v>
      </c>
      <c r="F43">
        <v>31.422499999999999</v>
      </c>
    </row>
    <row r="44" spans="1:24" ht="15.95">
      <c r="A44" t="s">
        <v>540</v>
      </c>
      <c r="B44">
        <v>20.825058333333338</v>
      </c>
      <c r="C44">
        <v>17.760533333333342</v>
      </c>
      <c r="D44">
        <v>16.367916666666673</v>
      </c>
      <c r="E44">
        <v>22.342833333333346</v>
      </c>
      <c r="F44">
        <v>49.185000000000016</v>
      </c>
      <c r="H44" s="56" t="s">
        <v>493</v>
      </c>
    </row>
    <row r="45" spans="1:24">
      <c r="A45" t="s">
        <v>541</v>
      </c>
      <c r="B45">
        <v>-2.6369486111111158</v>
      </c>
      <c r="C45">
        <v>-5.0742444444444388</v>
      </c>
      <c r="D45">
        <v>-5.9032638888888869</v>
      </c>
      <c r="E45">
        <v>-1.4736944444444404</v>
      </c>
      <c r="F45">
        <v>32.822500000000005</v>
      </c>
    </row>
    <row r="46" spans="1:24">
      <c r="A46" t="s">
        <v>542</v>
      </c>
      <c r="B46">
        <v>15.68098194444444</v>
      </c>
      <c r="C46">
        <v>12.753977777777777</v>
      </c>
      <c r="D46">
        <v>11.484930555555557</v>
      </c>
      <c r="E46">
        <v>17.121027777777776</v>
      </c>
      <c r="F46">
        <v>45.597500000000011</v>
      </c>
    </row>
    <row r="47" spans="1:24">
      <c r="A47" t="s">
        <v>543</v>
      </c>
      <c r="B47">
        <v>-4.3934624999999983</v>
      </c>
      <c r="C47">
        <v>-6.7837999999999923</v>
      </c>
      <c r="D47">
        <v>-7.5706249999999926</v>
      </c>
      <c r="E47">
        <v>-3.2567499999999967</v>
      </c>
      <c r="F47">
        <v>31.597500000000011</v>
      </c>
    </row>
    <row r="48" spans="1:24" ht="15.95">
      <c r="A48" t="s">
        <v>544</v>
      </c>
      <c r="B48">
        <v>24.087155555555555</v>
      </c>
      <c r="C48">
        <v>20.935422222222222</v>
      </c>
      <c r="D48">
        <v>19.464444444444446</v>
      </c>
      <c r="E48">
        <v>25.654222222222216</v>
      </c>
      <c r="F48">
        <v>51.460000000000008</v>
      </c>
      <c r="H48" s="56" t="s">
        <v>498</v>
      </c>
    </row>
    <row r="49" spans="1:8">
      <c r="A49" t="s">
        <v>545</v>
      </c>
      <c r="B49">
        <v>0.37421805555554499</v>
      </c>
      <c r="C49">
        <v>-2.1435777777777787</v>
      </c>
      <c r="D49">
        <v>-3.0449305555555597</v>
      </c>
      <c r="E49">
        <v>1.5829722222222173</v>
      </c>
      <c r="F49">
        <v>34.922499999999999</v>
      </c>
    </row>
    <row r="50" spans="1:8">
      <c r="A50" t="s">
        <v>546</v>
      </c>
      <c r="B50">
        <v>19.068544444444441</v>
      </c>
      <c r="C50">
        <v>16.050977777777781</v>
      </c>
      <c r="D50">
        <v>14.70055555555556</v>
      </c>
      <c r="E50">
        <v>20.559777777777782</v>
      </c>
      <c r="F50">
        <v>47.960000000000008</v>
      </c>
    </row>
    <row r="51" spans="1:8">
      <c r="A51" t="s">
        <v>547</v>
      </c>
      <c r="B51">
        <v>-1.3822958333333304</v>
      </c>
      <c r="C51">
        <v>-3.8531333333333251</v>
      </c>
      <c r="D51">
        <v>-4.7122916666666583</v>
      </c>
      <c r="E51">
        <v>-0.20008333333332473</v>
      </c>
      <c r="F51">
        <v>33.697500000000005</v>
      </c>
    </row>
    <row r="52" spans="1:8" ht="15.95">
      <c r="A52" t="s">
        <v>548</v>
      </c>
      <c r="B52">
        <v>25.843669444444444</v>
      </c>
      <c r="C52">
        <v>22.64497777777779</v>
      </c>
      <c r="D52">
        <v>21.131805555555559</v>
      </c>
      <c r="E52">
        <v>27.43727777777778</v>
      </c>
      <c r="F52">
        <v>52.685000000000016</v>
      </c>
      <c r="H52" s="56" t="s">
        <v>503</v>
      </c>
    </row>
    <row r="53" spans="1:8">
      <c r="A53" t="s">
        <v>549</v>
      </c>
      <c r="B53">
        <v>1.1270097222222262</v>
      </c>
      <c r="C53">
        <v>-1.4109111111111048</v>
      </c>
      <c r="D53">
        <v>-2.3303472222222155</v>
      </c>
      <c r="E53">
        <v>2.3471388888888924</v>
      </c>
      <c r="F53">
        <v>35.447500000000005</v>
      </c>
    </row>
    <row r="54" spans="1:8">
      <c r="A54" t="s">
        <v>550</v>
      </c>
      <c r="B54">
        <v>19.444940277777768</v>
      </c>
      <c r="C54">
        <v>16.417311111111111</v>
      </c>
      <c r="D54">
        <v>15.057847222222222</v>
      </c>
      <c r="E54">
        <v>20.941861111111109</v>
      </c>
      <c r="F54">
        <v>48.222500000000011</v>
      </c>
    </row>
    <row r="55" spans="1:8">
      <c r="A55" t="s">
        <v>551</v>
      </c>
      <c r="B55">
        <v>-1.005900000000004</v>
      </c>
      <c r="C55">
        <v>-3.4867999999999952</v>
      </c>
      <c r="D55">
        <v>-4.3549999999999969</v>
      </c>
      <c r="E55">
        <v>0.18200000000000216</v>
      </c>
      <c r="F55">
        <v>33.960000000000008</v>
      </c>
    </row>
    <row r="56" spans="1:8" ht="15.95">
      <c r="A56" t="s">
        <v>552</v>
      </c>
      <c r="B56">
        <v>39.268454166666672</v>
      </c>
      <c r="C56">
        <v>35.710866666666682</v>
      </c>
      <c r="D56">
        <v>33.875208333333347</v>
      </c>
      <c r="E56">
        <v>41.064916666666676</v>
      </c>
      <c r="F56">
        <v>62.047500000000028</v>
      </c>
      <c r="H56" s="56" t="s">
        <v>508</v>
      </c>
    </row>
    <row r="57" spans="1:8">
      <c r="A57" t="s">
        <v>553</v>
      </c>
      <c r="B57">
        <v>9.156787499999993</v>
      </c>
      <c r="C57">
        <v>6.4041999999999959</v>
      </c>
      <c r="D57">
        <v>5.2918749999999974</v>
      </c>
      <c r="E57">
        <v>10.498249999999992</v>
      </c>
      <c r="F57">
        <v>41.047499999999999</v>
      </c>
    </row>
    <row r="58" spans="1:8">
      <c r="A58" t="s">
        <v>554</v>
      </c>
      <c r="B58">
        <v>26.721926388888889</v>
      </c>
      <c r="C58">
        <v>23.499755555555573</v>
      </c>
      <c r="D58">
        <v>21.965486111111119</v>
      </c>
      <c r="E58">
        <v>28.328805555555562</v>
      </c>
      <c r="F58">
        <v>53.297500000000028</v>
      </c>
    </row>
    <row r="59" spans="1:8">
      <c r="A59" t="s">
        <v>555</v>
      </c>
      <c r="B59">
        <v>5.1418986111111167</v>
      </c>
      <c r="C59">
        <v>2.4966444444444562</v>
      </c>
      <c r="D59">
        <v>1.4807638888889016</v>
      </c>
      <c r="E59">
        <v>6.4226944444444527</v>
      </c>
      <c r="F59">
        <v>38.247500000000016</v>
      </c>
    </row>
    <row r="70" spans="1:11" ht="18">
      <c r="A70" s="58" t="s">
        <v>556</v>
      </c>
      <c r="G70" t="s">
        <v>557</v>
      </c>
      <c r="I70" t="s">
        <v>558</v>
      </c>
      <c r="K70" t="s">
        <v>559</v>
      </c>
    </row>
    <row r="72" spans="1:11" ht="15">
      <c r="A72" t="s">
        <v>560</v>
      </c>
      <c r="B72">
        <v>25.81</v>
      </c>
      <c r="C72">
        <v>25.12</v>
      </c>
      <c r="D72">
        <v>24.5</v>
      </c>
      <c r="E72">
        <v>26.2</v>
      </c>
      <c r="F72">
        <v>18</v>
      </c>
      <c r="G72">
        <f>$F$72*$F$26</f>
        <v>270788.13977426098</v>
      </c>
      <c r="H72" t="s">
        <v>561</v>
      </c>
      <c r="I72">
        <f>0.1*SUMPRODUCT($B$72:$F$72,B6:F6)</f>
        <v>270788.13977426098</v>
      </c>
    </row>
    <row r="73" spans="1:11">
      <c r="B73">
        <v>25.81</v>
      </c>
      <c r="C73">
        <v>25.12</v>
      </c>
      <c r="D73">
        <v>24.5</v>
      </c>
      <c r="E73">
        <v>26.2</v>
      </c>
      <c r="F73">
        <v>18</v>
      </c>
      <c r="G73">
        <f>$F$72*F7</f>
        <v>0</v>
      </c>
      <c r="I73">
        <f>0.1*SUMPRODUCT($B$72:$F$72,B7:F7)</f>
        <v>0</v>
      </c>
    </row>
    <row r="74" spans="1:11">
      <c r="B74">
        <v>25.81</v>
      </c>
      <c r="C74">
        <v>25.12</v>
      </c>
      <c r="D74">
        <v>24.5</v>
      </c>
      <c r="E74">
        <v>26.2</v>
      </c>
      <c r="F74">
        <v>18</v>
      </c>
      <c r="G74">
        <f>$F$72*F8</f>
        <v>0</v>
      </c>
      <c r="I74">
        <f>0.1*SUMPRODUCT($B$72:$F$72,B8:F8)</f>
        <v>98468.39702282034</v>
      </c>
    </row>
    <row r="75" spans="1:11">
      <c r="B75">
        <v>25.81</v>
      </c>
      <c r="C75">
        <v>25.12</v>
      </c>
      <c r="D75">
        <v>24.5</v>
      </c>
      <c r="E75">
        <v>26.2</v>
      </c>
      <c r="F75">
        <v>18</v>
      </c>
      <c r="G75">
        <f>$F$72*F9</f>
        <v>0</v>
      </c>
      <c r="I75">
        <f>0.1*SUMPRODUCT($B$72:$F$72,B9:F9)</f>
        <v>0</v>
      </c>
    </row>
    <row r="76" spans="1:11">
      <c r="B76">
        <v>25.81</v>
      </c>
      <c r="C76">
        <v>25.12</v>
      </c>
      <c r="D76">
        <v>24.5</v>
      </c>
      <c r="E76">
        <v>26.2</v>
      </c>
      <c r="F76">
        <v>18</v>
      </c>
      <c r="G76">
        <f>$F$72*F10</f>
        <v>0</v>
      </c>
      <c r="I76">
        <f>0.1*SUMPRODUCT($B$72:$F$72,B10:F10)</f>
        <v>270812.42356689496</v>
      </c>
    </row>
    <row r="77" spans="1:11">
      <c r="B77">
        <v>25.81</v>
      </c>
      <c r="C77">
        <v>25.12</v>
      </c>
      <c r="D77">
        <v>24.5</v>
      </c>
      <c r="E77">
        <v>26.2</v>
      </c>
      <c r="F77">
        <v>18</v>
      </c>
      <c r="G77">
        <f>$F$72*F11</f>
        <v>0</v>
      </c>
      <c r="I77">
        <f>0.1*SUMPRODUCT($B$72:$F$72,B11:F11)</f>
        <v>0</v>
      </c>
    </row>
    <row r="78" spans="1:11">
      <c r="B78">
        <v>25.81</v>
      </c>
      <c r="C78">
        <v>25.12</v>
      </c>
      <c r="D78">
        <v>24.5</v>
      </c>
      <c r="E78">
        <v>26.2</v>
      </c>
      <c r="F78">
        <v>18</v>
      </c>
      <c r="G78">
        <f>$F$72*F12</f>
        <v>0</v>
      </c>
      <c r="I78">
        <f>0.1*SUMPRODUCT($B$72:$F$72,B12:F12)</f>
        <v>110786.90055009337</v>
      </c>
    </row>
    <row r="79" spans="1:11">
      <c r="B79">
        <v>25.81</v>
      </c>
      <c r="C79">
        <v>25.12</v>
      </c>
      <c r="D79">
        <v>24.5</v>
      </c>
      <c r="E79">
        <v>26.2</v>
      </c>
      <c r="F79">
        <v>18</v>
      </c>
      <c r="G79">
        <f>$F$72*F13</f>
        <v>0</v>
      </c>
      <c r="I79">
        <f>0.1*SUMPRODUCT($B$72:$F$72,B13:F13)</f>
        <v>0</v>
      </c>
    </row>
    <row r="80" spans="1:11">
      <c r="B80">
        <v>25.81</v>
      </c>
      <c r="C80">
        <v>25.12</v>
      </c>
      <c r="D80">
        <v>24.5</v>
      </c>
      <c r="E80">
        <v>26.2</v>
      </c>
      <c r="F80">
        <v>18</v>
      </c>
      <c r="G80">
        <f>$F$72*F14</f>
        <v>0</v>
      </c>
      <c r="I80">
        <f>0.1*SUMPRODUCT($B$72:$F$72,B14:F14)</f>
        <v>270812.42356689496</v>
      </c>
    </row>
    <row r="81" spans="1:14">
      <c r="B81">
        <v>25.81</v>
      </c>
      <c r="C81">
        <v>25.12</v>
      </c>
      <c r="D81">
        <v>24.5</v>
      </c>
      <c r="E81">
        <v>26.2</v>
      </c>
      <c r="F81">
        <v>18</v>
      </c>
      <c r="G81">
        <f>$F$72*F15</f>
        <v>0</v>
      </c>
      <c r="I81">
        <f>0.1*SUMPRODUCT($B$72:$F$72,B15:F15)</f>
        <v>270812.42356689496</v>
      </c>
    </row>
    <row r="82" spans="1:14">
      <c r="B82">
        <v>25.81</v>
      </c>
      <c r="C82">
        <v>25.12</v>
      </c>
      <c r="D82">
        <v>24.5</v>
      </c>
      <c r="E82">
        <v>26.2</v>
      </c>
      <c r="F82">
        <v>18</v>
      </c>
      <c r="G82">
        <f>$F$72*F16</f>
        <v>0</v>
      </c>
      <c r="I82">
        <f>0.1*SUMPRODUCT($B$72:$F$72,B16:F16)</f>
        <v>110786.90055009337</v>
      </c>
    </row>
    <row r="83" spans="1:14">
      <c r="B83">
        <v>25.81</v>
      </c>
      <c r="C83">
        <v>25.12</v>
      </c>
      <c r="D83">
        <v>24.5</v>
      </c>
      <c r="E83">
        <v>26.2</v>
      </c>
      <c r="F83">
        <v>18</v>
      </c>
      <c r="G83">
        <f>$F$72*F17</f>
        <v>0</v>
      </c>
      <c r="I83">
        <f>0.1*SUMPRODUCT($B$72:$F$72,B17:F17)</f>
        <v>0</v>
      </c>
    </row>
    <row r="84" spans="1:14">
      <c r="B84">
        <v>25.81</v>
      </c>
      <c r="C84">
        <v>25.12</v>
      </c>
      <c r="D84">
        <v>24.5</v>
      </c>
      <c r="E84">
        <v>26.2</v>
      </c>
      <c r="F84">
        <v>18</v>
      </c>
      <c r="G84">
        <f>$F$72*F18</f>
        <v>0</v>
      </c>
      <c r="I84">
        <f>0.1*SUMPRODUCT($B$72:$F$72,B18:F18)</f>
        <v>270788.80766744411</v>
      </c>
    </row>
    <row r="85" spans="1:14">
      <c r="B85">
        <v>25.81</v>
      </c>
      <c r="C85">
        <v>25.12</v>
      </c>
      <c r="D85">
        <v>24.5</v>
      </c>
      <c r="E85">
        <v>26.2</v>
      </c>
      <c r="F85">
        <v>18</v>
      </c>
      <c r="G85">
        <f>$F$72*F19</f>
        <v>0</v>
      </c>
      <c r="I85">
        <f>0.1*SUMPRODUCT($B$72:$F$72,B19:F19)</f>
        <v>270788.80766744411</v>
      </c>
    </row>
    <row r="86" spans="1:14">
      <c r="B86">
        <v>25.81</v>
      </c>
      <c r="C86">
        <v>25.12</v>
      </c>
      <c r="D86">
        <v>24.5</v>
      </c>
      <c r="E86">
        <v>26.2</v>
      </c>
      <c r="F86">
        <v>18</v>
      </c>
      <c r="G86">
        <f>$F$72*F20</f>
        <v>0</v>
      </c>
      <c r="I86">
        <f>0.1*SUMPRODUCT($B$72:$F$72,B20:F20)</f>
        <v>98468.657333616022</v>
      </c>
    </row>
    <row r="87" spans="1:14">
      <c r="B87">
        <v>25.81</v>
      </c>
      <c r="C87">
        <v>25.12</v>
      </c>
      <c r="D87">
        <v>24.5</v>
      </c>
      <c r="E87">
        <v>26.2</v>
      </c>
      <c r="F87">
        <v>18</v>
      </c>
      <c r="G87">
        <f>$F$72*F21</f>
        <v>0</v>
      </c>
      <c r="I87">
        <f>0.1*SUMPRODUCT($B$72:$F$72,B21:F21)</f>
        <v>98468.657333616022</v>
      </c>
    </row>
    <row r="88" spans="1:14">
      <c r="B88">
        <v>25.81</v>
      </c>
      <c r="C88">
        <v>25.12</v>
      </c>
      <c r="D88">
        <v>24.5</v>
      </c>
      <c r="E88">
        <v>26.2</v>
      </c>
      <c r="F88">
        <v>18</v>
      </c>
      <c r="G88">
        <f>$F$72*F22</f>
        <v>0</v>
      </c>
      <c r="I88">
        <f>0.1*SUMPRODUCT($B$72:$F$72,B22:F22)</f>
        <v>258503.45132745613</v>
      </c>
    </row>
    <row r="89" spans="1:14">
      <c r="B89">
        <v>25.81</v>
      </c>
      <c r="C89">
        <v>25.12</v>
      </c>
      <c r="D89">
        <v>24.5</v>
      </c>
      <c r="E89">
        <v>26.2</v>
      </c>
      <c r="F89">
        <v>18</v>
      </c>
      <c r="G89">
        <f>$F$72*F23</f>
        <v>0</v>
      </c>
      <c r="I89">
        <f>0.1*SUMPRODUCT($B$72:$F$72,B23:F23)</f>
        <v>258503.45132745613</v>
      </c>
    </row>
    <row r="90" spans="1:14">
      <c r="B90">
        <v>25.81</v>
      </c>
      <c r="C90">
        <v>25.12</v>
      </c>
      <c r="D90">
        <v>24.5</v>
      </c>
      <c r="E90">
        <v>26.2</v>
      </c>
      <c r="F90">
        <v>18</v>
      </c>
      <c r="G90">
        <f>$F$72*F24</f>
        <v>0</v>
      </c>
      <c r="I90">
        <f>0.1*SUMPRODUCT($B$72:$F$72,B24:F24)</f>
        <v>123096.8815845029</v>
      </c>
    </row>
    <row r="91" spans="1:14">
      <c r="B91">
        <v>25.81</v>
      </c>
      <c r="C91">
        <v>25.12</v>
      </c>
      <c r="D91">
        <v>24.5</v>
      </c>
      <c r="E91">
        <v>26.2</v>
      </c>
      <c r="F91">
        <v>18</v>
      </c>
      <c r="G91">
        <f>$F$72*F25</f>
        <v>0</v>
      </c>
      <c r="I91">
        <f>0.1*SUMPRODUCT($B$72:$F$72,B25:F25)</f>
        <v>123096.8815845029</v>
      </c>
    </row>
    <row r="92" spans="1:14" ht="15">
      <c r="A92" t="s">
        <v>562</v>
      </c>
      <c r="B92">
        <v>6.8999999999999999E-3</v>
      </c>
      <c r="C92">
        <v>3.5000000000000001E-3</v>
      </c>
      <c r="D92">
        <v>1.75E-3</v>
      </c>
      <c r="E92">
        <v>8.6E-3</v>
      </c>
      <c r="F92">
        <v>5.0000000000000002E-5</v>
      </c>
      <c r="G92">
        <f>SUMPRODUCT($B$92:$F$92,$B$26:$F$26)</f>
        <v>8609.1265727580376</v>
      </c>
      <c r="H92" t="s">
        <v>561</v>
      </c>
      <c r="I92">
        <v>9000</v>
      </c>
    </row>
    <row r="93" spans="1:14" ht="15">
      <c r="A93" t="s">
        <v>563</v>
      </c>
      <c r="G93">
        <f>$B$26</f>
        <v>533199.84293705027</v>
      </c>
      <c r="H93" t="s">
        <v>561</v>
      </c>
      <c r="I93">
        <v>600000</v>
      </c>
    </row>
    <row r="94" spans="1:14" ht="15">
      <c r="A94" t="s">
        <v>564</v>
      </c>
    </row>
    <row r="95" spans="1:14" ht="15">
      <c r="A95" t="s">
        <v>565</v>
      </c>
      <c r="H95" t="s">
        <v>566</v>
      </c>
      <c r="I95">
        <v>0</v>
      </c>
      <c r="K95" t="s">
        <v>567</v>
      </c>
      <c r="L95" t="s">
        <v>568</v>
      </c>
      <c r="N95" t="s">
        <v>569</v>
      </c>
    </row>
    <row r="96" spans="1:14" ht="15">
      <c r="A96" t="s">
        <v>570</v>
      </c>
      <c r="B96">
        <v>2.5093100000000002</v>
      </c>
      <c r="C96">
        <v>2.4422199999999998</v>
      </c>
      <c r="D96">
        <v>2.3819400000000002</v>
      </c>
      <c r="E96">
        <v>2.5472199999999998</v>
      </c>
      <c r="F96">
        <v>1.75</v>
      </c>
      <c r="G96">
        <f>SUMPRODUCT($B$96:$F$96,B6:F6)</f>
        <v>263266.66666666663</v>
      </c>
      <c r="H96" t="s">
        <v>561</v>
      </c>
      <c r="I96">
        <f>12*22</f>
        <v>264</v>
      </c>
      <c r="J96">
        <v>1000</v>
      </c>
      <c r="K96">
        <f>I96*$J$96</f>
        <v>264000</v>
      </c>
      <c r="L96">
        <f>K96-2*1000*N96</f>
        <v>263266.66666666669</v>
      </c>
      <c r="N96">
        <f>I96/SUM($I$96:$I$99)</f>
        <v>0.36666666666666664</v>
      </c>
    </row>
    <row r="97" spans="2:14" ht="15">
      <c r="B97">
        <v>2.5093100000000002</v>
      </c>
      <c r="C97">
        <v>2.4422199999999998</v>
      </c>
      <c r="D97">
        <v>2.3819400000000002</v>
      </c>
      <c r="E97">
        <v>2.5472199999999998</v>
      </c>
      <c r="F97">
        <v>1.75</v>
      </c>
      <c r="G97">
        <f>SUMPRODUCT($B$96:$F$96,B7:F7)</f>
        <v>0</v>
      </c>
      <c r="H97" t="s">
        <v>561</v>
      </c>
      <c r="I97">
        <f>12*22</f>
        <v>264</v>
      </c>
      <c r="K97">
        <f>I97*$J$96</f>
        <v>264000</v>
      </c>
      <c r="L97">
        <f>K97-2*1000*N97</f>
        <v>263266.66666666669</v>
      </c>
      <c r="N97">
        <f>I97/SUM($I$96:$I$99)</f>
        <v>0.36666666666666664</v>
      </c>
    </row>
    <row r="98" spans="2:14" ht="15">
      <c r="B98">
        <v>2.5093100000000002</v>
      </c>
      <c r="C98">
        <v>2.4422199999999998</v>
      </c>
      <c r="D98">
        <v>2.3819400000000002</v>
      </c>
      <c r="E98">
        <v>2.5472199999999998</v>
      </c>
      <c r="F98">
        <v>1.75</v>
      </c>
      <c r="G98">
        <f>SUMPRODUCT($B$96:$F$96,B8:F8)</f>
        <v>95733.333333333328</v>
      </c>
      <c r="H98" t="s">
        <v>561</v>
      </c>
      <c r="I98">
        <f>12*8</f>
        <v>96</v>
      </c>
      <c r="K98">
        <f>I98*$J$96</f>
        <v>96000</v>
      </c>
      <c r="L98">
        <f>K98-2*1000*N98</f>
        <v>95733.333333333328</v>
      </c>
      <c r="N98">
        <f>I98/SUM($I$96:$I$99)</f>
        <v>0.13333333333333333</v>
      </c>
    </row>
    <row r="99" spans="2:14" ht="15">
      <c r="B99">
        <v>2.5093100000000002</v>
      </c>
      <c r="C99">
        <v>2.4422199999999998</v>
      </c>
      <c r="D99">
        <v>2.3819400000000002</v>
      </c>
      <c r="E99">
        <v>2.5472199999999998</v>
      </c>
      <c r="F99">
        <v>1.75</v>
      </c>
      <c r="G99">
        <f>SUMPRODUCT($B$96:$F$96,B9:F9)</f>
        <v>0</v>
      </c>
      <c r="H99" t="s">
        <v>561</v>
      </c>
      <c r="I99">
        <f>12*8</f>
        <v>96</v>
      </c>
      <c r="K99">
        <f>I99*$J$96</f>
        <v>96000</v>
      </c>
      <c r="L99">
        <f>K99-2*1000*N99</f>
        <v>95733.333333333328</v>
      </c>
      <c r="N99">
        <f>I99/SUM($I$96:$I$99)</f>
        <v>0.13333333333333333</v>
      </c>
    </row>
    <row r="100" spans="2:14" ht="15">
      <c r="B100">
        <v>2.5093100000000002</v>
      </c>
      <c r="C100">
        <v>2.4422199999999998</v>
      </c>
      <c r="D100">
        <v>2.3819400000000002</v>
      </c>
      <c r="E100">
        <v>2.5472199999999998</v>
      </c>
      <c r="F100">
        <v>1.75</v>
      </c>
      <c r="G100">
        <f>SUMPRODUCT($B$96:$F$96,B10:F10)</f>
        <v>263290.32258064515</v>
      </c>
      <c r="H100" t="s">
        <v>561</v>
      </c>
      <c r="I100">
        <f>22*12</f>
        <v>264</v>
      </c>
      <c r="K100">
        <f>I100*$J$96</f>
        <v>264000</v>
      </c>
      <c r="L100">
        <f>K100-2*1000*N100</f>
        <v>263290.32258064515</v>
      </c>
      <c r="N100">
        <f>I100/SUM($I$100:$I$103)</f>
        <v>0.35483870967741937</v>
      </c>
    </row>
    <row r="101" spans="2:14" ht="15">
      <c r="B101">
        <v>2.5093100000000002</v>
      </c>
      <c r="C101">
        <v>2.4422199999999998</v>
      </c>
      <c r="D101">
        <v>2.3819400000000002</v>
      </c>
      <c r="E101">
        <v>2.5472199999999998</v>
      </c>
      <c r="F101">
        <v>1.75</v>
      </c>
      <c r="G101">
        <f>SUMPRODUCT($B$96:$F$96,B11:F11)</f>
        <v>0</v>
      </c>
      <c r="H101" t="s">
        <v>561</v>
      </c>
      <c r="I101">
        <f>12*22</f>
        <v>264</v>
      </c>
      <c r="K101">
        <f>I101*$J$96</f>
        <v>264000</v>
      </c>
      <c r="L101">
        <f>K101-2*1000*N101</f>
        <v>263290.32258064515</v>
      </c>
      <c r="N101">
        <f>I101/SUM($I$100:$I$103)</f>
        <v>0.35483870967741937</v>
      </c>
    </row>
    <row r="102" spans="2:14" ht="15">
      <c r="B102">
        <v>2.5093100000000002</v>
      </c>
      <c r="C102">
        <v>2.4422199999999998</v>
      </c>
      <c r="D102">
        <v>2.3819400000000002</v>
      </c>
      <c r="E102">
        <v>2.5472199999999998</v>
      </c>
      <c r="F102">
        <v>1.75</v>
      </c>
      <c r="G102">
        <f>SUMPRODUCT($B$96:$F$96,B12:F12)</f>
        <v>107709.67741935482</v>
      </c>
      <c r="H102" t="s">
        <v>561</v>
      </c>
      <c r="I102">
        <f>12*9</f>
        <v>108</v>
      </c>
      <c r="K102">
        <f>I102*$J$96</f>
        <v>108000</v>
      </c>
      <c r="L102">
        <f>K102-2*1000*N102</f>
        <v>107709.67741935483</v>
      </c>
      <c r="N102">
        <f>I102/SUM($I$100:$I$103)</f>
        <v>0.14516129032258066</v>
      </c>
    </row>
    <row r="103" spans="2:14" ht="15">
      <c r="B103">
        <v>2.5093100000000002</v>
      </c>
      <c r="C103">
        <v>2.4422199999999998</v>
      </c>
      <c r="D103">
        <v>2.3819400000000002</v>
      </c>
      <c r="E103">
        <v>2.5472199999999998</v>
      </c>
      <c r="F103">
        <v>1.75</v>
      </c>
      <c r="G103">
        <f>SUMPRODUCT($B$96:$F$96,B13:F13)</f>
        <v>0</v>
      </c>
      <c r="H103" t="s">
        <v>561</v>
      </c>
      <c r="I103">
        <f>12*9</f>
        <v>108</v>
      </c>
      <c r="K103">
        <f>I103*$J$96</f>
        <v>108000</v>
      </c>
      <c r="L103">
        <f>K103-2*1000*N103</f>
        <v>107709.67741935483</v>
      </c>
      <c r="N103">
        <f>I103/SUM($I$100:$I$103)</f>
        <v>0.14516129032258066</v>
      </c>
    </row>
    <row r="104" spans="2:14" ht="15">
      <c r="B104">
        <v>2.5093100000000002</v>
      </c>
      <c r="C104">
        <v>2.4422199999999998</v>
      </c>
      <c r="D104">
        <v>2.3819400000000002</v>
      </c>
      <c r="E104">
        <v>2.5472199999999998</v>
      </c>
      <c r="F104">
        <v>1.75</v>
      </c>
      <c r="G104">
        <f>SUMPRODUCT($B$96:$F$96,B14:F14)</f>
        <v>263290.32258064515</v>
      </c>
      <c r="H104" t="s">
        <v>561</v>
      </c>
      <c r="I104">
        <f>12*22</f>
        <v>264</v>
      </c>
      <c r="K104">
        <f>I104*$J$96</f>
        <v>264000</v>
      </c>
      <c r="L104">
        <f>K104-2*1000*N104</f>
        <v>263290.32258064515</v>
      </c>
      <c r="N104">
        <f>I104/SUM($I$104:$I$107)</f>
        <v>0.35483870967741937</v>
      </c>
    </row>
    <row r="105" spans="2:14" ht="15">
      <c r="B105">
        <v>2.5093100000000002</v>
      </c>
      <c r="C105">
        <v>2.4422199999999998</v>
      </c>
      <c r="D105">
        <v>2.3819400000000002</v>
      </c>
      <c r="E105">
        <v>2.5472199999999998</v>
      </c>
      <c r="F105">
        <v>1.75</v>
      </c>
      <c r="G105">
        <f>SUMPRODUCT($B$96:$F$96,B15:F15)</f>
        <v>263290.32258064515</v>
      </c>
      <c r="H105" t="s">
        <v>561</v>
      </c>
      <c r="I105">
        <f>12*22</f>
        <v>264</v>
      </c>
      <c r="K105">
        <f>I105*$J$96</f>
        <v>264000</v>
      </c>
      <c r="L105">
        <f>K105-2*1000*N105</f>
        <v>263290.32258064515</v>
      </c>
      <c r="N105">
        <f>I105/SUM($I$104:$I$107)</f>
        <v>0.35483870967741937</v>
      </c>
    </row>
    <row r="106" spans="2:14" ht="15">
      <c r="B106">
        <v>2.5093100000000002</v>
      </c>
      <c r="C106">
        <v>2.4422199999999998</v>
      </c>
      <c r="D106">
        <v>2.3819400000000002</v>
      </c>
      <c r="E106">
        <v>2.5472199999999998</v>
      </c>
      <c r="F106">
        <v>1.75</v>
      </c>
      <c r="G106">
        <f>SUMPRODUCT($B$96:$F$96,B16:F16)</f>
        <v>107709.67741935482</v>
      </c>
      <c r="H106" t="s">
        <v>561</v>
      </c>
      <c r="I106">
        <f>12*9</f>
        <v>108</v>
      </c>
      <c r="K106">
        <f>I106*$J$96</f>
        <v>108000</v>
      </c>
      <c r="L106">
        <f>K106-2*1000*N106</f>
        <v>107709.67741935483</v>
      </c>
      <c r="N106">
        <f>I106/SUM($I$104:$I$107)</f>
        <v>0.14516129032258066</v>
      </c>
    </row>
    <row r="107" spans="2:14" ht="15">
      <c r="B107">
        <v>2.5093100000000002</v>
      </c>
      <c r="C107">
        <v>2.4422199999999998</v>
      </c>
      <c r="D107">
        <v>2.3819400000000002</v>
      </c>
      <c r="E107">
        <v>2.5472199999999998</v>
      </c>
      <c r="F107">
        <v>1.75</v>
      </c>
      <c r="G107">
        <f>SUMPRODUCT($B$96:$F$96,B17:F17)</f>
        <v>0</v>
      </c>
      <c r="H107" t="s">
        <v>561</v>
      </c>
      <c r="I107">
        <f>12*9</f>
        <v>108</v>
      </c>
      <c r="K107">
        <f>I107*$J$96</f>
        <v>108000</v>
      </c>
      <c r="L107">
        <f>K107-2*1000*N107</f>
        <v>107709.67741935483</v>
      </c>
      <c r="N107">
        <f>I107/SUM($I$104:$I$107)</f>
        <v>0.14516129032258066</v>
      </c>
    </row>
    <row r="108" spans="2:14" ht="15">
      <c r="B108">
        <v>2.5093100000000002</v>
      </c>
      <c r="C108">
        <v>2.4422199999999998</v>
      </c>
      <c r="D108">
        <v>2.3819400000000002</v>
      </c>
      <c r="E108">
        <v>2.5472199999999998</v>
      </c>
      <c r="F108">
        <v>1.75</v>
      </c>
      <c r="G108">
        <f>SUMPRODUCT($B$96:$F$96,B18:F18)</f>
        <v>263266.66666666674</v>
      </c>
      <c r="H108" t="s">
        <v>561</v>
      </c>
      <c r="I108">
        <f>12*22</f>
        <v>264</v>
      </c>
      <c r="K108">
        <f>I108*$J$96</f>
        <v>264000</v>
      </c>
      <c r="L108">
        <f>K108-2*1000*N108</f>
        <v>263266.66666666669</v>
      </c>
      <c r="N108">
        <f>I108/SUM($I$108:$I$111)</f>
        <v>0.36666666666666664</v>
      </c>
    </row>
    <row r="109" spans="2:14" ht="15">
      <c r="B109">
        <v>2.5093100000000002</v>
      </c>
      <c r="C109">
        <v>2.4422199999999998</v>
      </c>
      <c r="D109">
        <v>2.3819400000000002</v>
      </c>
      <c r="E109">
        <v>2.5472199999999998</v>
      </c>
      <c r="F109">
        <v>1.75</v>
      </c>
      <c r="G109">
        <f>SUMPRODUCT($B$96:$F$96,B19:F19)</f>
        <v>263266.66666666674</v>
      </c>
      <c r="H109" t="s">
        <v>561</v>
      </c>
      <c r="I109">
        <f>12*22</f>
        <v>264</v>
      </c>
      <c r="K109">
        <f>I109*$J$96</f>
        <v>264000</v>
      </c>
      <c r="L109">
        <f>K109-2*1000*N109</f>
        <v>263266.66666666669</v>
      </c>
      <c r="N109">
        <f>I109/SUM($I$108:$I$111)</f>
        <v>0.36666666666666664</v>
      </c>
    </row>
    <row r="110" spans="2:14" ht="15">
      <c r="B110">
        <v>2.5093100000000002</v>
      </c>
      <c r="C110">
        <v>2.4422199999999998</v>
      </c>
      <c r="D110">
        <v>2.3819400000000002</v>
      </c>
      <c r="E110">
        <v>2.5472199999999998</v>
      </c>
      <c r="F110">
        <v>1.75</v>
      </c>
      <c r="G110">
        <f>SUMPRODUCT($B$96:$F$96,B20:F20)</f>
        <v>95733.333333333343</v>
      </c>
      <c r="H110" t="s">
        <v>561</v>
      </c>
      <c r="I110">
        <f>12*8</f>
        <v>96</v>
      </c>
      <c r="K110">
        <f>I110*$J$96</f>
        <v>96000</v>
      </c>
      <c r="L110">
        <f>K110-2*1000*N110</f>
        <v>95733.333333333328</v>
      </c>
      <c r="N110">
        <f>I110/SUM($I$108:$I$111)</f>
        <v>0.13333333333333333</v>
      </c>
    </row>
    <row r="111" spans="2:14" ht="15">
      <c r="B111">
        <v>2.5093100000000002</v>
      </c>
      <c r="C111">
        <v>2.4422199999999998</v>
      </c>
      <c r="D111">
        <v>2.3819400000000002</v>
      </c>
      <c r="E111">
        <v>2.5472199999999998</v>
      </c>
      <c r="F111">
        <v>1.75</v>
      </c>
      <c r="G111">
        <f>SUMPRODUCT($B$96:$F$96,B21:F21)</f>
        <v>95733.333333333343</v>
      </c>
      <c r="H111" t="s">
        <v>561</v>
      </c>
      <c r="I111">
        <f>12*8</f>
        <v>96</v>
      </c>
      <c r="K111">
        <f>I111*$J$96</f>
        <v>96000</v>
      </c>
      <c r="L111">
        <f>K111-2*1000*N111</f>
        <v>95733.333333333328</v>
      </c>
      <c r="N111">
        <f>I111/SUM($I$108:$I$111)</f>
        <v>0.13333333333333333</v>
      </c>
    </row>
    <row r="112" spans="2:14" ht="15">
      <c r="B112">
        <v>2.5093100000000002</v>
      </c>
      <c r="C112">
        <v>2.4422199999999998</v>
      </c>
      <c r="D112">
        <v>2.3819400000000002</v>
      </c>
      <c r="E112">
        <v>2.5472199999999998</v>
      </c>
      <c r="F112">
        <v>1.75</v>
      </c>
      <c r="G112">
        <f>SUMPRODUCT($B$96:$F$96,B22:F22)</f>
        <v>251322.58064516133</v>
      </c>
      <c r="H112" t="s">
        <v>561</v>
      </c>
      <c r="I112">
        <f>21*12</f>
        <v>252</v>
      </c>
      <c r="K112">
        <f>I112*$J$96</f>
        <v>252000</v>
      </c>
      <c r="L112">
        <f>K112-2*1000*N112</f>
        <v>251322.5806451613</v>
      </c>
      <c r="N112">
        <f>I112/SUM($I$112:$I$115)</f>
        <v>0.33870967741935482</v>
      </c>
    </row>
    <row r="113" spans="2:14" ht="15">
      <c r="B113">
        <v>2.5093100000000002</v>
      </c>
      <c r="C113">
        <v>2.4422199999999998</v>
      </c>
      <c r="D113">
        <v>2.3819400000000002</v>
      </c>
      <c r="E113">
        <v>2.5472199999999998</v>
      </c>
      <c r="F113">
        <v>1.75</v>
      </c>
      <c r="G113">
        <f>SUMPRODUCT($B$96:$F$96,B23:F23)</f>
        <v>251322.58064516133</v>
      </c>
      <c r="H113" t="s">
        <v>561</v>
      </c>
      <c r="I113">
        <f>21*12</f>
        <v>252</v>
      </c>
      <c r="K113">
        <f>I113*$J$96</f>
        <v>252000</v>
      </c>
      <c r="L113">
        <f>K113-2*1000*N113</f>
        <v>251322.5806451613</v>
      </c>
      <c r="N113">
        <f>I113/SUM($I$112:$I$115)</f>
        <v>0.33870967741935482</v>
      </c>
    </row>
    <row r="114" spans="2:14" ht="15">
      <c r="B114">
        <v>2.5093100000000002</v>
      </c>
      <c r="C114">
        <v>2.4422199999999998</v>
      </c>
      <c r="D114">
        <v>2.3819400000000002</v>
      </c>
      <c r="E114">
        <v>2.5472199999999998</v>
      </c>
      <c r="F114">
        <v>1.75</v>
      </c>
      <c r="G114">
        <f>SUMPRODUCT($B$96:$F$96,B24:F24)</f>
        <v>119677.41935483873</v>
      </c>
      <c r="H114" t="s">
        <v>561</v>
      </c>
      <c r="I114">
        <f>12*10</f>
        <v>120</v>
      </c>
      <c r="K114">
        <f>I114*$J$96</f>
        <v>120000</v>
      </c>
      <c r="L114">
        <f>K114-2*1000*N114</f>
        <v>119677.41935483871</v>
      </c>
      <c r="N114">
        <f>I114/SUM($I$112:$I$115)</f>
        <v>0.16129032258064516</v>
      </c>
    </row>
    <row r="115" spans="2:14" ht="15">
      <c r="B115">
        <v>2.5093100000000002</v>
      </c>
      <c r="C115">
        <v>2.4422199999999998</v>
      </c>
      <c r="D115">
        <v>2.3819400000000002</v>
      </c>
      <c r="E115">
        <v>2.5472199999999998</v>
      </c>
      <c r="F115">
        <v>1.75</v>
      </c>
      <c r="G115">
        <f>SUMPRODUCT($B$96:$F$96,B25:F25)</f>
        <v>119677.41935483873</v>
      </c>
      <c r="H115" t="s">
        <v>561</v>
      </c>
      <c r="I115">
        <f>12*10</f>
        <v>120</v>
      </c>
      <c r="K115">
        <f>I115*$J$96</f>
        <v>120000</v>
      </c>
      <c r="L115">
        <f>K115-2*1000*N115</f>
        <v>119677.41935483871</v>
      </c>
      <c r="N115">
        <f>I115/SUM($I$112:$I$115)</f>
        <v>0.16129032258064516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D09A-9B2A-4D83-AABB-E418060C0425}">
  <dimension ref="A1:W77"/>
  <sheetViews>
    <sheetView topLeftCell="C34" zoomScale="75" workbookViewId="0"/>
  </sheetViews>
  <sheetFormatPr defaultColWidth="11.42578125" defaultRowHeight="14.25"/>
  <cols>
    <col min="1" max="2" width="26" customWidth="1"/>
    <col min="3" max="4" width="26" bestFit="1" customWidth="1"/>
    <col min="5" max="5" width="23.85546875" customWidth="1"/>
    <col min="6" max="6" width="30.28515625" bestFit="1" customWidth="1"/>
    <col min="7" max="7" width="23.85546875" customWidth="1"/>
    <col min="8" max="8" width="15.140625" bestFit="1" customWidth="1"/>
    <col min="9" max="9" width="10" bestFit="1" customWidth="1"/>
    <col min="10" max="10" width="25.140625" bestFit="1" customWidth="1"/>
    <col min="11" max="11" width="10.28515625" bestFit="1" customWidth="1"/>
    <col min="12" max="15" width="9.140625" bestFit="1" customWidth="1"/>
    <col min="16" max="16" width="21.85546875" customWidth="1"/>
  </cols>
  <sheetData>
    <row r="1" spans="1:11" ht="15">
      <c r="A1" t="s">
        <v>615</v>
      </c>
      <c r="B1" s="49" t="s">
        <v>563</v>
      </c>
      <c r="C1" t="s">
        <v>616</v>
      </c>
      <c r="D1" s="49" t="s">
        <v>617</v>
      </c>
      <c r="E1" s="49" t="s">
        <v>618</v>
      </c>
      <c r="F1" s="49" t="s">
        <v>619</v>
      </c>
    </row>
    <row r="2" spans="1:11" ht="15">
      <c r="A2" t="s">
        <v>479</v>
      </c>
      <c r="B2" t="s">
        <v>620</v>
      </c>
      <c r="C2" t="s">
        <v>620</v>
      </c>
      <c r="D2" t="s">
        <v>620</v>
      </c>
      <c r="E2" t="s">
        <v>620</v>
      </c>
      <c r="F2" t="s">
        <v>620</v>
      </c>
      <c r="G2" t="s">
        <v>486</v>
      </c>
    </row>
    <row r="3" spans="1:11" ht="15">
      <c r="A3" t="s">
        <v>621</v>
      </c>
      <c r="B3">
        <f>(L19-$K$6-$K$7*$K$8*$K$9)*$L$28-$H$46</f>
        <v>19.946801388888886</v>
      </c>
      <c r="C3">
        <f>(L19-$K$6-$K$7*$K$8*$K$9)*$L$29-$H$47</f>
        <v>16.905755555555558</v>
      </c>
      <c r="D3">
        <f>(L19-$K$6-$K$7*$K$8*$K$9)*$L$30-$H$48</f>
        <v>15.534236111111113</v>
      </c>
      <c r="E3">
        <f>(L19-$K$6-$K$7*$K$8*$K$9)*$L$31-$H$49</f>
        <v>21.451305555555564</v>
      </c>
      <c r="F3">
        <f>(L19-$K$6-$K$7*$K$8*$K$9+$K$10)*$L$32-$H$50</f>
        <v>48.572500000000005</v>
      </c>
      <c r="G3">
        <f>12*22</f>
        <v>264</v>
      </c>
      <c r="J3" s="77" t="s">
        <v>47</v>
      </c>
      <c r="K3" s="77" t="s">
        <v>48</v>
      </c>
    </row>
    <row r="4" spans="1:11" ht="15">
      <c r="A4" t="s">
        <v>622</v>
      </c>
      <c r="B4">
        <f>(L20-$K$6-$K$7*$K$8*$K$9)*$L$28-$H$46</f>
        <v>-2.6369486111111158</v>
      </c>
      <c r="C4">
        <f>(L20-$K$6-$K$7*$K$8*$K$9)*$L$29-$H$47</f>
        <v>-5.0742444444444388</v>
      </c>
      <c r="D4">
        <f>(L20-$K$6-$K$7*$K$8*$K$9)*$L$30-$H$48</f>
        <v>-5.9032638888888869</v>
      </c>
      <c r="E4">
        <f>(L20-$K$6-$K$7*$K$8*$K$9)*$L$31-$H$49</f>
        <v>-1.4736944444444404</v>
      </c>
      <c r="F4">
        <f>(L20-$K$6-$K$7*$K$8*$K$9+$K$10)*$L$32-$H$50</f>
        <v>32.822500000000005</v>
      </c>
      <c r="G4">
        <f>12*22</f>
        <v>264</v>
      </c>
      <c r="J4" s="81" t="s">
        <v>55</v>
      </c>
      <c r="K4" s="81">
        <v>0.35</v>
      </c>
    </row>
    <row r="5" spans="1:11" ht="15">
      <c r="A5" t="s">
        <v>623</v>
      </c>
      <c r="B5">
        <f>(L21-$K$6-$K$7*$K$8*$K$9)*$L$28-$H$46</f>
        <v>13.673537500000002</v>
      </c>
      <c r="C5">
        <f>(L21-$K$6-$K$7*$K$8*$K$9)*$L$29-$H$47</f>
        <v>10.800200000000004</v>
      </c>
      <c r="D5">
        <f>(L21-$K$6-$K$7*$K$8*$K$9)*$L$30-$H$48</f>
        <v>9.579375000000006</v>
      </c>
      <c r="E5">
        <f>(L21-$K$6-$K$7*$K$8*$K$9)*$L$31-$H$49</f>
        <v>15.083250000000007</v>
      </c>
      <c r="F5">
        <f>(L21-$K$6-$K$7*$K$8*$K$9+$K$10)*$L$32-$H$50</f>
        <v>44.197500000000005</v>
      </c>
      <c r="G5">
        <f>12*8</f>
        <v>96</v>
      </c>
      <c r="J5" s="81" t="s">
        <v>57</v>
      </c>
      <c r="K5" s="81">
        <v>1000</v>
      </c>
    </row>
    <row r="6" spans="1:11" ht="15">
      <c r="A6" t="s">
        <v>624</v>
      </c>
      <c r="B6">
        <f>(L22-$K$6-$K$7*$K$8*$K$9)*$L$28-$H$46</f>
        <v>-4.644393055555561</v>
      </c>
      <c r="C6">
        <f>(L22-$K$6-$K$7*$K$8*$K$9)*$L$29-$H$47</f>
        <v>-7.0280222222222193</v>
      </c>
      <c r="D6">
        <f>(L22-$K$6-$K$7*$K$8*$K$9)*$L$30-$H$48</f>
        <v>-7.8088194444444454</v>
      </c>
      <c r="E6">
        <f>(L22-$K$6-$K$7*$K$8*$K$9)*$L$31-$H$49</f>
        <v>-3.5114722222222241</v>
      </c>
      <c r="F6">
        <f>(L22-$K$6-$K$7*$K$8*$K$9+$K$10)*$L$32-$H$50</f>
        <v>31.422499999999999</v>
      </c>
      <c r="G6">
        <f>12*8</f>
        <v>96</v>
      </c>
      <c r="J6" s="81" t="s">
        <v>59</v>
      </c>
      <c r="K6" s="81">
        <v>0.65</v>
      </c>
    </row>
    <row r="7" spans="1:11" ht="15">
      <c r="A7" t="s">
        <v>625</v>
      </c>
      <c r="B7">
        <f>(M19-$K$6-$K$7*$K$8*$K$9)*$L$28-$H$46</f>
        <v>20.825058333333338</v>
      </c>
      <c r="C7">
        <f>(M19-$K$6-$K$7*$K$8*$K$9)*$L$29-$H$47</f>
        <v>17.760533333333342</v>
      </c>
      <c r="D7">
        <f>(M19-$K$6-$K$7*$K$8*$K$9)*$L$30-$H$48</f>
        <v>16.367916666666673</v>
      </c>
      <c r="E7">
        <f>(M19-$K$6-$K$7*$K$8*$K$9)*$L$31-$H$49</f>
        <v>22.342833333333346</v>
      </c>
      <c r="F7">
        <f>(M19-$K$6-$K$7*$K$8*$K$9+$K$10)*$L$32-$H$50</f>
        <v>49.185000000000016</v>
      </c>
      <c r="G7">
        <f>22*12</f>
        <v>264</v>
      </c>
      <c r="J7" s="81" t="s">
        <v>61</v>
      </c>
      <c r="K7" s="81">
        <v>0.8</v>
      </c>
    </row>
    <row r="8" spans="1:11" ht="15">
      <c r="A8" t="s">
        <v>626</v>
      </c>
      <c r="B8">
        <f>(M20-$K$6-$K$7*$K$8*$K$9)*$L$28-$H$46</f>
        <v>-2.6369486111111158</v>
      </c>
      <c r="C8">
        <f>(M20-$K$6-$K$7*$K$8*$K$9)*$L$29-$H$47</f>
        <v>-5.0742444444444388</v>
      </c>
      <c r="D8">
        <f>(M20-$K$6-$K$7*$K$8*$K$9)*$L$30-$H$48</f>
        <v>-5.9032638888888869</v>
      </c>
      <c r="E8">
        <f>(M20-$K$6-$K$7*$K$8*$K$9)*$L$31-$H$49</f>
        <v>-1.4736944444444404</v>
      </c>
      <c r="F8">
        <f>(M20-$K$6-$K$7*$K$8*$K$9+$K$10)*$L$32-$H$50</f>
        <v>32.822500000000005</v>
      </c>
      <c r="G8">
        <f>12*22</f>
        <v>264</v>
      </c>
      <c r="J8" s="81" t="s">
        <v>62</v>
      </c>
      <c r="K8" s="81">
        <v>15</v>
      </c>
    </row>
    <row r="9" spans="1:11" ht="15">
      <c r="A9" t="s">
        <v>627</v>
      </c>
      <c r="B9">
        <f>(M21-$K$6-$K$7*$K$8*$K$9)*$L$28-$H$46</f>
        <v>15.68098194444444</v>
      </c>
      <c r="C9">
        <f>(M21-$K$6-$K$7*$K$8*$K$9)*$L$29-$H$47</f>
        <v>12.753977777777777</v>
      </c>
      <c r="D9">
        <f>(M21-$K$6-$K$7*$K$8*$K$9)*$L$30-$H$48</f>
        <v>11.484930555555557</v>
      </c>
      <c r="E9">
        <f>(M21-$K$6-$K$7*$K$8*$K$9)*$L$31-$H$49</f>
        <v>17.121027777777776</v>
      </c>
      <c r="F9">
        <f>(M21-$K$6-$K$7*$K$8*$K$9+$K$10)*$L$32-$H$50</f>
        <v>45.597500000000011</v>
      </c>
      <c r="G9">
        <f>12*9</f>
        <v>108</v>
      </c>
      <c r="J9" s="81" t="s">
        <v>63</v>
      </c>
      <c r="K9" s="81">
        <v>0.87</v>
      </c>
    </row>
    <row r="10" spans="1:11" ht="15">
      <c r="A10" t="s">
        <v>628</v>
      </c>
      <c r="B10">
        <f>(M22-$K$6-$K$7*$K$8*$K$9)*$L$28-$H$46</f>
        <v>-4.3934624999999983</v>
      </c>
      <c r="C10">
        <f>(M22-$K$6-$K$7*$K$8*$K$9)*$L$29-$H$47</f>
        <v>-6.7837999999999923</v>
      </c>
      <c r="D10">
        <f>(M22-$K$6-$K$7*$K$8*$K$9)*$L$30-$H$48</f>
        <v>-7.5706249999999926</v>
      </c>
      <c r="E10">
        <f>(M22-$K$6-$K$7*$K$8*$K$9)*$L$31-$H$49</f>
        <v>-3.2567499999999967</v>
      </c>
      <c r="F10">
        <f>(M22-$K$6-$K$7*$K$8*$K$9+$K$10)*$L$32-$H$50</f>
        <v>31.597500000000011</v>
      </c>
      <c r="G10">
        <f>12*9</f>
        <v>108</v>
      </c>
      <c r="J10" s="81" t="s">
        <v>64</v>
      </c>
      <c r="K10" s="81">
        <v>45</v>
      </c>
    </row>
    <row r="11" spans="1:11" ht="15">
      <c r="A11" t="s">
        <v>629</v>
      </c>
      <c r="B11">
        <f>(N19-$K$6-$K$7*$K$8*$K$9)*$L$28-$H$46</f>
        <v>24.087155555555555</v>
      </c>
      <c r="C11">
        <f>(N19-$K$6-$K$7*$K$8*$K$9)*$L$29-$H$47</f>
        <v>20.935422222222222</v>
      </c>
      <c r="D11">
        <f>(N19-$K$6-$K$7*$K$8*$K$9)*$L$30-$H$48</f>
        <v>19.464444444444446</v>
      </c>
      <c r="E11">
        <f>(N19-$K$6-$K$7*$K$8*$K$9)*$L$31-$H$49</f>
        <v>25.654222222222216</v>
      </c>
      <c r="F11">
        <f>(N19-$K$6-$K$7*$K$8*$K$9+$K$10)*$L$32-$H$50</f>
        <v>51.460000000000008</v>
      </c>
      <c r="G11">
        <f>12*22</f>
        <v>264</v>
      </c>
      <c r="J11" s="59" t="s">
        <v>65</v>
      </c>
      <c r="K11" s="81">
        <v>9000</v>
      </c>
    </row>
    <row r="12" spans="1:11" ht="15">
      <c r="A12" t="s">
        <v>630</v>
      </c>
      <c r="B12">
        <f>(N20-$K$6-$K$7*$K$8*$K$9)*$L$28-$H$46</f>
        <v>0.37421805555554499</v>
      </c>
      <c r="C12">
        <f>(N20-$K$6-$K$7*$K$8*$K$9)*$L$29-$H$47</f>
        <v>-2.1435777777777787</v>
      </c>
      <c r="D12">
        <f>(N20-$K$6-$K$7*$K$8*$K$9)*$L$30-$H$48</f>
        <v>-3.0449305555555597</v>
      </c>
      <c r="E12">
        <f>(N20-$K$6-$K$7*$K$8*$K$9)*$L$31-$H$49</f>
        <v>1.5829722222222173</v>
      </c>
      <c r="F12">
        <f>(N20-$K$6-$K$7*$K$8*$K$9+$K$10)*$L$32-$H$50</f>
        <v>34.922499999999999</v>
      </c>
      <c r="G12">
        <f>12*22</f>
        <v>264</v>
      </c>
      <c r="J12" s="59" t="s">
        <v>66</v>
      </c>
      <c r="K12" s="81">
        <v>600000</v>
      </c>
    </row>
    <row r="13" spans="1:11" ht="15">
      <c r="A13" t="s">
        <v>631</v>
      </c>
      <c r="B13">
        <f>(N21-$K$6-$K$7*$K$8*$K$9)*$L$28-$H$46</f>
        <v>19.068544444444441</v>
      </c>
      <c r="C13">
        <f>(N21-$K$6-$K$7*$K$8*$K$9)*$L$29-$H$47</f>
        <v>16.050977777777781</v>
      </c>
      <c r="D13">
        <f>(N21-$K$6-$K$7*$K$8*$K$9)*$L$30-$H$48</f>
        <v>14.70055555555556</v>
      </c>
      <c r="E13">
        <f>(N21-$K$6-$K$7*$K$8*$K$9)*$L$31-$H$49</f>
        <v>20.559777777777782</v>
      </c>
      <c r="F13">
        <f>(N21-$K$6-$K$7*$K$8*$K$9+$K$10)*$L$32-$H$50</f>
        <v>47.960000000000008</v>
      </c>
      <c r="G13">
        <f>12*9</f>
        <v>108</v>
      </c>
      <c r="J13" s="59" t="s">
        <v>67</v>
      </c>
      <c r="K13" s="81">
        <v>0.1</v>
      </c>
    </row>
    <row r="14" spans="1:11" ht="15">
      <c r="A14" t="s">
        <v>632</v>
      </c>
      <c r="B14">
        <f>(N22-$K$6-$K$7*$K$8*$K$9)*$L$28-$H$46</f>
        <v>-1.3822958333333304</v>
      </c>
      <c r="C14">
        <f>(N22-$K$6-$K$7*$K$8*$K$9)*$L$29-$H$47</f>
        <v>-3.8531333333333251</v>
      </c>
      <c r="D14">
        <f>(N22-$K$6-$K$7*$K$8*$K$9)*$L$30-$H$48</f>
        <v>-4.7122916666666583</v>
      </c>
      <c r="E14">
        <f>(N22-$K$6-$K$7*$K$8*$K$9)*$L$31-$H$49</f>
        <v>-0.20008333333332473</v>
      </c>
      <c r="F14">
        <f>(N22-$K$6-$K$7*$K$8*$K$9+$K$10)*$L$32-$H$50</f>
        <v>33.697500000000005</v>
      </c>
      <c r="G14">
        <f>12*9</f>
        <v>108</v>
      </c>
      <c r="J14" s="81" t="s">
        <v>68</v>
      </c>
      <c r="K14" s="81">
        <v>12</v>
      </c>
    </row>
    <row r="15" spans="1:11" ht="15">
      <c r="A15" t="s">
        <v>633</v>
      </c>
      <c r="B15">
        <f>(O19-$K$6-$K$7*$K$8*$K$9)*$L$28-$H$46</f>
        <v>25.843669444444444</v>
      </c>
      <c r="C15">
        <f>(O19-$K$6-$K$7*$K$8*$K$9)*$L$29-$H$47</f>
        <v>22.64497777777779</v>
      </c>
      <c r="D15">
        <f>(O19-$K$6-$K$7*$K$8*$K$9)*$L$30-$H$48</f>
        <v>21.131805555555559</v>
      </c>
      <c r="E15">
        <f>(O19-$K$6-$K$7*$K$8*$K$9)*$L$31-$H$49</f>
        <v>27.43727777777778</v>
      </c>
      <c r="F15">
        <f>(O19-$K$6-$K$7*$K$8*$K$9+$K$10)*$L$32-$H$50</f>
        <v>52.685000000000016</v>
      </c>
      <c r="G15">
        <f>12*22</f>
        <v>264</v>
      </c>
      <c r="J15" s="81" t="s">
        <v>69</v>
      </c>
      <c r="K15" s="81">
        <v>12</v>
      </c>
    </row>
    <row r="16" spans="1:11" ht="15">
      <c r="A16" t="s">
        <v>634</v>
      </c>
      <c r="B16">
        <f>(O20-$K$6-$K$7*$K$8*$K$9)*$L$28-$H$46</f>
        <v>1.1270097222222262</v>
      </c>
      <c r="C16">
        <f>(O20-$K$6-$K$7*$K$8*$K$9)*$L$29-$H$47</f>
        <v>-1.4109111111111048</v>
      </c>
      <c r="D16">
        <f>(O20-$K$6-$K$7*$K$8*$K$9)*$L$30-$H$48</f>
        <v>-2.3303472222222155</v>
      </c>
      <c r="E16">
        <f>(O20-$K$6-$K$7*$K$8*$K$9)*$L$31-$H$49</f>
        <v>2.3471388888888924</v>
      </c>
      <c r="F16">
        <f>(O20-$K$6-$K$7*$K$8*$K$9+$K$10)*$L$32-$H$50</f>
        <v>35.447500000000005</v>
      </c>
      <c r="G16">
        <f>12*22</f>
        <v>264</v>
      </c>
    </row>
    <row r="17" spans="1:16" ht="15">
      <c r="A17" t="s">
        <v>635</v>
      </c>
      <c r="B17">
        <f>(O21-$K$6-$K$7*$K$8*$K$9)*$L$28-$H$46</f>
        <v>19.444940277777768</v>
      </c>
      <c r="C17">
        <f>(O21-$K$6-$K$7*$K$8*$K$9)*$L$29-$H$47</f>
        <v>16.417311111111111</v>
      </c>
      <c r="D17">
        <f>(O21-$K$6-$K$7*$K$8*$K$9)*$L$30-$H$48</f>
        <v>15.057847222222222</v>
      </c>
      <c r="E17">
        <f>(O21-$K$6-$K$7*$K$8*$K$9)*$L$31-$H$49</f>
        <v>20.941861111111109</v>
      </c>
      <c r="F17">
        <f>(O21-$K$6-$K$7*$K$8*$K$9+$K$10)*$L$32-$H$50</f>
        <v>48.222500000000011</v>
      </c>
      <c r="G17">
        <f>12*8</f>
        <v>96</v>
      </c>
    </row>
    <row r="18" spans="1:16" ht="15">
      <c r="A18" t="s">
        <v>636</v>
      </c>
      <c r="B18">
        <f>(O22-$K$6-$K$7*$K$8*$K$9)*$L$28-$H$46</f>
        <v>-1.005900000000004</v>
      </c>
      <c r="C18">
        <f>(O22-$K$6-$K$7*$K$8*$K$9)*$L$29-$H$47</f>
        <v>-3.4867999999999952</v>
      </c>
      <c r="D18">
        <f>(O22-$K$6-$K$7*$K$8*$K$9)*$L$30-$H$48</f>
        <v>-4.3549999999999969</v>
      </c>
      <c r="E18">
        <f>(O22-$K$6-$K$7*$K$8*$K$9)*$L$31-$H$49</f>
        <v>0.18200000000000216</v>
      </c>
      <c r="F18">
        <f>(O22-$K$6-$K$7*$K$8*$K$9+$K$10)*$L$32-$H$50</f>
        <v>33.960000000000008</v>
      </c>
      <c r="G18">
        <f>12*8</f>
        <v>96</v>
      </c>
      <c r="J18" s="80" t="s">
        <v>45</v>
      </c>
      <c r="K18" s="80" t="s">
        <v>513</v>
      </c>
      <c r="L18" s="80" t="s">
        <v>514</v>
      </c>
      <c r="M18" s="80" t="s">
        <v>515</v>
      </c>
      <c r="N18" s="80" t="s">
        <v>516</v>
      </c>
      <c r="O18" s="80" t="s">
        <v>517</v>
      </c>
      <c r="P18" s="80" t="s">
        <v>518</v>
      </c>
    </row>
    <row r="19" spans="1:16" ht="15">
      <c r="A19" t="s">
        <v>637</v>
      </c>
      <c r="B19">
        <f>(P19-$K$6-$K$7*$K$8*$K$9)*$L$28-$H$46</f>
        <v>39.268454166666672</v>
      </c>
      <c r="C19">
        <f>(P19-$K$6-$K$7*$K$8*$K$9)*$L$29-$H$47</f>
        <v>35.710866666666682</v>
      </c>
      <c r="D19">
        <f>(P19-$K$6-$K$7*$K$8*$K$9)*$L$30-$H$48</f>
        <v>33.875208333333347</v>
      </c>
      <c r="E19">
        <f>(P19-$K$6-$K$7*$K$8*$K$9)*$L$31-$H$49</f>
        <v>41.064916666666676</v>
      </c>
      <c r="F19">
        <f>(P19-$K$6-$K$7*$K$8*$K$9+$K$10)*$L$32-$H$50</f>
        <v>62.047500000000028</v>
      </c>
      <c r="G19">
        <f>21*12</f>
        <v>252</v>
      </c>
      <c r="J19" t="s">
        <v>519</v>
      </c>
      <c r="K19" t="s">
        <v>520</v>
      </c>
      <c r="L19">
        <v>36</v>
      </c>
      <c r="M19">
        <v>36.35</v>
      </c>
      <c r="N19">
        <v>37.65</v>
      </c>
      <c r="O19">
        <v>38.35</v>
      </c>
      <c r="P19">
        <v>43.7</v>
      </c>
    </row>
    <row r="20" spans="1:16" ht="15">
      <c r="A20" t="s">
        <v>638</v>
      </c>
      <c r="B20">
        <f>(P20-$K$6-$K$7*$K$8*$K$9)*$L$28-$H$46</f>
        <v>9.156787499999993</v>
      </c>
      <c r="C20">
        <f>(P20-$K$6-$K$7*$K$8*$K$9)*$L$29-$H$47</f>
        <v>6.4041999999999959</v>
      </c>
      <c r="D20">
        <f>(P20-$K$6-$K$7*$K$8*$K$9)*$L$30-$H$48</f>
        <v>5.2918749999999974</v>
      </c>
      <c r="E20">
        <f>(P20-$K$6-$K$7*$K$8*$K$9)*$L$31-$H$49</f>
        <v>10.498249999999992</v>
      </c>
      <c r="F20">
        <f>(P20-$K$6-$K$7*$K$8*$K$9+$K$10)*$L$32-$H$50</f>
        <v>41.047499999999999</v>
      </c>
      <c r="G20">
        <f>21*12</f>
        <v>252</v>
      </c>
      <c r="J20" t="s">
        <v>521</v>
      </c>
      <c r="K20" t="s">
        <v>520</v>
      </c>
      <c r="L20">
        <v>27</v>
      </c>
      <c r="M20">
        <v>27</v>
      </c>
      <c r="N20">
        <v>28.2</v>
      </c>
      <c r="O20">
        <v>28.5</v>
      </c>
      <c r="P20">
        <v>31.7</v>
      </c>
    </row>
    <row r="21" spans="1:16" ht="15">
      <c r="A21" t="s">
        <v>639</v>
      </c>
      <c r="B21">
        <f>(P21-$K$6-$K$7*$K$8*$K$9)*$L$28-$H$46</f>
        <v>26.721926388888889</v>
      </c>
      <c r="C21">
        <f>(P21-$K$6-$K$7*$K$8*$K$9)*$L$29-$H$47</f>
        <v>23.499755555555573</v>
      </c>
      <c r="D21">
        <f>(P21-$K$6-$K$7*$K$8*$K$9)*$L$30-$H$48</f>
        <v>21.965486111111119</v>
      </c>
      <c r="E21">
        <f>(P21-$K$6-$K$7*$K$8*$K$9)*$L$31-$H$49</f>
        <v>28.328805555555562</v>
      </c>
      <c r="F21">
        <f>(P21-$K$6-$K$7*$K$8*$K$9+$K$10)*$L$32-$H$50</f>
        <v>53.297500000000028</v>
      </c>
      <c r="G21">
        <f>12*10</f>
        <v>120</v>
      </c>
      <c r="J21" t="s">
        <v>525</v>
      </c>
      <c r="K21" t="s">
        <v>520</v>
      </c>
      <c r="L21">
        <v>33.5</v>
      </c>
      <c r="M21">
        <v>34.299999999999997</v>
      </c>
      <c r="N21">
        <v>35.65</v>
      </c>
      <c r="O21">
        <v>35.799999999999997</v>
      </c>
      <c r="P21">
        <v>38.700000000000003</v>
      </c>
    </row>
    <row r="22" spans="1:16" ht="15">
      <c r="A22" t="s">
        <v>640</v>
      </c>
      <c r="B22">
        <f>(P22-$K$6-$K$7*$K$8*$K$9)*$L$28-$H$46</f>
        <v>5.1418986111111167</v>
      </c>
      <c r="C22">
        <f>(P22-$K$6-$K$7*$K$8*$K$9)*$L$29-$H$47</f>
        <v>2.4966444444444562</v>
      </c>
      <c r="D22">
        <f>(P22-$K$6-$K$7*$K$8*$K$9)*$L$30-$H$48</f>
        <v>1.4807638888889016</v>
      </c>
      <c r="E22">
        <f>(P22-$K$6-$K$7*$K$8*$K$9)*$L$31-$H$49</f>
        <v>6.4226944444444527</v>
      </c>
      <c r="F22">
        <f>(P22-$K$6-$K$7*$K$8*$K$9+$K$10)*$L$32-$H$50</f>
        <v>38.247500000000016</v>
      </c>
      <c r="G22">
        <f>12*10</f>
        <v>120</v>
      </c>
      <c r="J22" t="s">
        <v>528</v>
      </c>
      <c r="K22" t="s">
        <v>520</v>
      </c>
      <c r="L22">
        <v>26.2</v>
      </c>
      <c r="M22">
        <v>26.3</v>
      </c>
      <c r="N22">
        <v>27.5</v>
      </c>
      <c r="O22">
        <v>27.65</v>
      </c>
      <c r="P22">
        <v>30.1</v>
      </c>
    </row>
    <row r="26" spans="1:16" ht="15">
      <c r="I26" s="69" t="s">
        <v>49</v>
      </c>
      <c r="J26" s="69" t="s">
        <v>641</v>
      </c>
      <c r="K26" s="69" t="e" vm="1">
        <v>#VALUE!</v>
      </c>
    </row>
    <row r="27" spans="1:16" ht="15">
      <c r="I27" s="69"/>
      <c r="J27" s="69"/>
      <c r="K27" s="69"/>
    </row>
    <row r="28" spans="1:16" ht="15.95">
      <c r="I28" s="61" t="s">
        <v>529</v>
      </c>
      <c r="J28" s="61">
        <v>25.81</v>
      </c>
      <c r="K28" s="60">
        <v>2.5093100000000002</v>
      </c>
      <c r="L28">
        <f>J28*0.35/3.6</f>
        <v>2.5093055555555552</v>
      </c>
    </row>
    <row r="29" spans="1:16" ht="15.95">
      <c r="I29" s="61" t="s">
        <v>530</v>
      </c>
      <c r="J29" s="61">
        <v>25.12</v>
      </c>
      <c r="K29" s="60">
        <v>2.4422199999999998</v>
      </c>
      <c r="L29">
        <f>J29*0.35/3.6</f>
        <v>2.4422222222222221</v>
      </c>
    </row>
    <row r="30" spans="1:16" ht="15.95">
      <c r="I30" s="61" t="s">
        <v>531</v>
      </c>
      <c r="J30" s="61">
        <v>24.5</v>
      </c>
      <c r="K30" s="60">
        <v>2.3819400000000002</v>
      </c>
      <c r="L30">
        <f>J30*0.35/3.6</f>
        <v>2.3819444444444442</v>
      </c>
    </row>
    <row r="31" spans="1:16" ht="15.95">
      <c r="I31" s="61" t="s">
        <v>532</v>
      </c>
      <c r="J31" s="61">
        <v>26.2</v>
      </c>
      <c r="K31" s="60">
        <v>2.5472199999999998</v>
      </c>
      <c r="L31">
        <f>J31*0.35/3.6</f>
        <v>2.5472222222222221</v>
      </c>
    </row>
    <row r="32" spans="1:16" ht="15.95">
      <c r="I32" s="61" t="s">
        <v>575</v>
      </c>
      <c r="J32" s="61">
        <v>18</v>
      </c>
      <c r="K32" s="60">
        <v>1.75</v>
      </c>
      <c r="L32">
        <f>J32*0.35/3.6</f>
        <v>1.75</v>
      </c>
    </row>
    <row r="36" spans="7:12" ht="15">
      <c r="I36" t="s">
        <v>642</v>
      </c>
    </row>
    <row r="37" spans="7:12" ht="32.1">
      <c r="I37" s="62" t="s">
        <v>49</v>
      </c>
      <c r="J37" s="62" t="s">
        <v>643</v>
      </c>
      <c r="K37" s="62" t="s">
        <v>644</v>
      </c>
      <c r="L37" s="63" t="s">
        <v>645</v>
      </c>
    </row>
    <row r="38" spans="7:12" ht="15.95">
      <c r="I38" s="64" t="s">
        <v>529</v>
      </c>
      <c r="J38" s="64">
        <v>1.38</v>
      </c>
      <c r="K38" s="62">
        <v>1.38E-2</v>
      </c>
      <c r="L38">
        <f>K38*(1-50%)</f>
        <v>6.8999999999999999E-3</v>
      </c>
    </row>
    <row r="39" spans="7:12" ht="15.95">
      <c r="I39" s="64" t="s">
        <v>530</v>
      </c>
      <c r="J39" s="64">
        <v>0.7</v>
      </c>
      <c r="K39" s="62">
        <v>7.0000000000000001E-3</v>
      </c>
      <c r="L39">
        <f>K39*(1-50%)</f>
        <v>3.5000000000000001E-3</v>
      </c>
    </row>
    <row r="40" spans="7:12" ht="15.95">
      <c r="I40" s="64" t="s">
        <v>531</v>
      </c>
      <c r="J40" s="64">
        <v>0.35</v>
      </c>
      <c r="K40" s="62">
        <v>3.5000000000000001E-3</v>
      </c>
      <c r="L40">
        <f>K40*(1-50%)</f>
        <v>1.75E-3</v>
      </c>
    </row>
    <row r="41" spans="7:12" ht="15.95">
      <c r="I41" s="64" t="s">
        <v>532</v>
      </c>
      <c r="J41" s="64">
        <v>1.72</v>
      </c>
      <c r="K41" s="62">
        <v>1.72E-2</v>
      </c>
      <c r="L41">
        <f>K41*(1-50%)</f>
        <v>8.6E-3</v>
      </c>
    </row>
    <row r="42" spans="7:12" ht="15.95">
      <c r="I42" s="64" t="s">
        <v>575</v>
      </c>
      <c r="J42" s="64">
        <v>0.01</v>
      </c>
      <c r="K42" s="62">
        <v>1E-4</v>
      </c>
      <c r="L42">
        <f>K42*(1-50%)</f>
        <v>5.0000000000000002E-5</v>
      </c>
    </row>
    <row r="45" spans="7:12" ht="15">
      <c r="G45" s="80" t="s">
        <v>49</v>
      </c>
      <c r="H45" s="80" t="s">
        <v>580</v>
      </c>
      <c r="I45" s="80" t="s">
        <v>581</v>
      </c>
      <c r="J45" s="80" t="s">
        <v>582</v>
      </c>
    </row>
    <row r="46" spans="7:12">
      <c r="G46" t="s">
        <v>583</v>
      </c>
      <c r="H46">
        <v>42.56</v>
      </c>
      <c r="I46">
        <v>25.81</v>
      </c>
      <c r="J46">
        <v>1.38</v>
      </c>
    </row>
    <row r="47" spans="7:12">
      <c r="G47" t="s">
        <v>584</v>
      </c>
      <c r="H47">
        <v>43.93</v>
      </c>
      <c r="I47">
        <v>25.12</v>
      </c>
      <c r="J47">
        <v>0.7</v>
      </c>
    </row>
    <row r="48" spans="7:12">
      <c r="G48" t="s">
        <v>585</v>
      </c>
      <c r="H48">
        <v>43.8</v>
      </c>
      <c r="I48">
        <v>24.5</v>
      </c>
      <c r="J48">
        <v>0.35</v>
      </c>
    </row>
    <row r="49" spans="7:23">
      <c r="G49" t="s">
        <v>586</v>
      </c>
      <c r="H49">
        <v>42</v>
      </c>
      <c r="I49">
        <v>26.2</v>
      </c>
      <c r="J49">
        <v>1.72</v>
      </c>
    </row>
    <row r="50" spans="7:23">
      <c r="G50" t="s">
        <v>54</v>
      </c>
      <c r="H50">
        <v>73.77</v>
      </c>
      <c r="I50">
        <v>18</v>
      </c>
      <c r="J50">
        <v>0.01</v>
      </c>
    </row>
    <row r="55" spans="7:23">
      <c r="G55" t="s">
        <v>587</v>
      </c>
      <c r="M55" t="s">
        <v>45</v>
      </c>
      <c r="P55" t="s">
        <v>587</v>
      </c>
      <c r="V55" t="s">
        <v>45</v>
      </c>
    </row>
    <row r="56" spans="7:23">
      <c r="G56" t="s">
        <v>588</v>
      </c>
      <c r="H56" t="s">
        <v>589</v>
      </c>
      <c r="I56" t="s">
        <v>590</v>
      </c>
      <c r="J56" t="s">
        <v>483</v>
      </c>
      <c r="K56" t="s">
        <v>591</v>
      </c>
      <c r="L56" t="s">
        <v>54</v>
      </c>
      <c r="M56" t="s">
        <v>573</v>
      </c>
      <c r="P56" t="s">
        <v>588</v>
      </c>
      <c r="Q56" t="s">
        <v>589</v>
      </c>
      <c r="R56" t="s">
        <v>590</v>
      </c>
      <c r="S56" t="s">
        <v>483</v>
      </c>
      <c r="T56" t="s">
        <v>591</v>
      </c>
      <c r="U56" t="s">
        <v>54</v>
      </c>
      <c r="V56" t="s">
        <v>573</v>
      </c>
    </row>
    <row r="57" spans="7:23">
      <c r="G57" t="s">
        <v>592</v>
      </c>
      <c r="H57">
        <v>94424.380393969361</v>
      </c>
      <c r="I57">
        <v>0</v>
      </c>
      <c r="J57">
        <v>0</v>
      </c>
      <c r="K57">
        <v>0</v>
      </c>
      <c r="L57">
        <v>15043.785543014499</v>
      </c>
      <c r="M57">
        <v>264</v>
      </c>
      <c r="N57" t="s">
        <v>514</v>
      </c>
      <c r="P57" t="s">
        <v>592</v>
      </c>
      <c r="Q57">
        <f>H57*$L$28</f>
        <v>236939.62230247835</v>
      </c>
      <c r="R57">
        <f>I57*$L$29</f>
        <v>0</v>
      </c>
      <c r="S57">
        <f>J57*$L$30</f>
        <v>0</v>
      </c>
      <c r="T57">
        <f>K57*$L$31</f>
        <v>0</v>
      </c>
      <c r="U57">
        <f>L57*$L$32</f>
        <v>26326.624700275373</v>
      </c>
      <c r="V57">
        <v>264</v>
      </c>
      <c r="W57" t="s">
        <v>514</v>
      </c>
    </row>
    <row r="58" spans="7:23">
      <c r="G58" t="s">
        <v>593</v>
      </c>
      <c r="H58">
        <v>0</v>
      </c>
      <c r="I58">
        <v>0</v>
      </c>
      <c r="J58">
        <v>0</v>
      </c>
      <c r="K58">
        <v>0</v>
      </c>
      <c r="L58">
        <v>0</v>
      </c>
      <c r="M58">
        <v>264</v>
      </c>
      <c r="P58" t="s">
        <v>593</v>
      </c>
      <c r="Q58">
        <f>H58*$L$28</f>
        <v>0</v>
      </c>
      <c r="R58">
        <f>I58*$L$29</f>
        <v>0</v>
      </c>
      <c r="S58">
        <f>J58*$L$30</f>
        <v>0</v>
      </c>
      <c r="T58">
        <f>K58*$L$31</f>
        <v>0</v>
      </c>
      <c r="U58">
        <f>L58*$L$32</f>
        <v>0</v>
      </c>
      <c r="V58">
        <v>264</v>
      </c>
    </row>
    <row r="59" spans="7:23">
      <c r="G59" t="s">
        <v>594</v>
      </c>
      <c r="H59">
        <v>38151.258048361233</v>
      </c>
      <c r="I59">
        <v>0</v>
      </c>
      <c r="J59">
        <v>0</v>
      </c>
      <c r="K59">
        <v>0</v>
      </c>
      <c r="L59">
        <v>0</v>
      </c>
      <c r="M59">
        <v>96</v>
      </c>
      <c r="P59" t="s">
        <v>594</v>
      </c>
      <c r="Q59">
        <f>H59*$L$28</f>
        <v>95733.163772186424</v>
      </c>
      <c r="R59">
        <f>I59*$L$29</f>
        <v>0</v>
      </c>
      <c r="S59">
        <f>J59*$L$30</f>
        <v>0</v>
      </c>
      <c r="T59">
        <f>K59*$L$31</f>
        <v>0</v>
      </c>
      <c r="U59">
        <f>L59*$L$32</f>
        <v>0</v>
      </c>
      <c r="V59">
        <v>96</v>
      </c>
    </row>
    <row r="60" spans="7:23">
      <c r="G60" t="s">
        <v>595</v>
      </c>
      <c r="H60">
        <v>0</v>
      </c>
      <c r="I60">
        <v>0</v>
      </c>
      <c r="J60">
        <v>0</v>
      </c>
      <c r="K60">
        <v>0</v>
      </c>
      <c r="L60">
        <v>0</v>
      </c>
      <c r="M60">
        <v>96</v>
      </c>
      <c r="P60" t="s">
        <v>595</v>
      </c>
      <c r="Q60">
        <f>H60*$L$28</f>
        <v>0</v>
      </c>
      <c r="R60">
        <f>I60*$L$29</f>
        <v>0</v>
      </c>
      <c r="S60">
        <f>J60*$L$30</f>
        <v>0</v>
      </c>
      <c r="T60">
        <f>K60*$L$31</f>
        <v>0</v>
      </c>
      <c r="U60">
        <f>L60*$L$32</f>
        <v>0</v>
      </c>
      <c r="V60">
        <v>96</v>
      </c>
    </row>
    <row r="61" spans="7:23">
      <c r="G61" t="s">
        <v>596</v>
      </c>
      <c r="H61">
        <v>104925.38689147421</v>
      </c>
      <c r="I61">
        <v>0</v>
      </c>
      <c r="J61">
        <v>0</v>
      </c>
      <c r="K61">
        <v>0</v>
      </c>
      <c r="L61">
        <v>0</v>
      </c>
      <c r="M61">
        <v>264</v>
      </c>
      <c r="N61" t="s">
        <v>515</v>
      </c>
      <c r="P61" t="s">
        <v>596</v>
      </c>
      <c r="Q61">
        <f>H61*$L$28</f>
        <v>263289.85624559224</v>
      </c>
      <c r="R61">
        <f>I61*$L$29</f>
        <v>0</v>
      </c>
      <c r="S61">
        <f>J61*$L$30</f>
        <v>0</v>
      </c>
      <c r="T61">
        <f>K61*$L$31</f>
        <v>0</v>
      </c>
      <c r="U61">
        <f>L61*$L$32</f>
        <v>0</v>
      </c>
      <c r="V61">
        <v>264</v>
      </c>
      <c r="W61" t="s">
        <v>515</v>
      </c>
    </row>
    <row r="62" spans="7:23">
      <c r="G62" t="s">
        <v>597</v>
      </c>
      <c r="H62">
        <v>0</v>
      </c>
      <c r="I62">
        <v>0</v>
      </c>
      <c r="J62">
        <v>0</v>
      </c>
      <c r="K62">
        <v>0</v>
      </c>
      <c r="L62">
        <v>0</v>
      </c>
      <c r="M62">
        <v>264</v>
      </c>
      <c r="P62" t="s">
        <v>597</v>
      </c>
      <c r="Q62">
        <f>H62*$L$28</f>
        <v>0</v>
      </c>
      <c r="R62">
        <f>I62*$L$29</f>
        <v>0</v>
      </c>
      <c r="S62">
        <f>J62*$L$30</f>
        <v>0</v>
      </c>
      <c r="T62">
        <f>K62*$L$31</f>
        <v>0</v>
      </c>
      <c r="U62">
        <f>L62*$L$32</f>
        <v>0</v>
      </c>
      <c r="V62">
        <v>264</v>
      </c>
    </row>
    <row r="63" spans="7:23">
      <c r="G63" t="s">
        <v>598</v>
      </c>
      <c r="H63">
        <v>42924.021910148535</v>
      </c>
      <c r="I63">
        <v>0</v>
      </c>
      <c r="J63">
        <v>0</v>
      </c>
      <c r="K63">
        <v>0</v>
      </c>
      <c r="L63">
        <v>0</v>
      </c>
      <c r="M63">
        <v>108</v>
      </c>
      <c r="P63" t="s">
        <v>598</v>
      </c>
      <c r="Q63">
        <f>H63*$L$28</f>
        <v>107709.48664592409</v>
      </c>
      <c r="R63">
        <f>I63*$L$29</f>
        <v>0</v>
      </c>
      <c r="S63">
        <f>J63*$L$30</f>
        <v>0</v>
      </c>
      <c r="T63">
        <f>K63*$L$31</f>
        <v>0</v>
      </c>
      <c r="U63">
        <f>L63*$L$32</f>
        <v>0</v>
      </c>
      <c r="V63">
        <v>108</v>
      </c>
    </row>
    <row r="64" spans="7:23">
      <c r="G64" t="s">
        <v>599</v>
      </c>
      <c r="H64">
        <v>0</v>
      </c>
      <c r="I64">
        <v>0</v>
      </c>
      <c r="J64">
        <v>0</v>
      </c>
      <c r="K64">
        <v>0</v>
      </c>
      <c r="L64">
        <v>0</v>
      </c>
      <c r="M64">
        <v>108</v>
      </c>
      <c r="P64" t="s">
        <v>599</v>
      </c>
      <c r="Q64">
        <f>H64*$L$28</f>
        <v>0</v>
      </c>
      <c r="R64">
        <f>I64*$L$29</f>
        <v>0</v>
      </c>
      <c r="S64">
        <f>J64*$L$30</f>
        <v>0</v>
      </c>
      <c r="T64">
        <f>K64*$L$31</f>
        <v>0</v>
      </c>
      <c r="U64">
        <f>L64*$L$32</f>
        <v>0</v>
      </c>
      <c r="V64">
        <v>108</v>
      </c>
    </row>
    <row r="65" spans="7:23">
      <c r="G65" t="s">
        <v>600</v>
      </c>
      <c r="H65">
        <v>104925.38689147421</v>
      </c>
      <c r="I65">
        <v>0</v>
      </c>
      <c r="J65">
        <v>0</v>
      </c>
      <c r="K65">
        <v>0</v>
      </c>
      <c r="L65">
        <v>0</v>
      </c>
      <c r="M65">
        <v>264</v>
      </c>
      <c r="N65" t="s">
        <v>516</v>
      </c>
      <c r="P65" t="s">
        <v>600</v>
      </c>
      <c r="Q65">
        <f>H65*$L$28</f>
        <v>263289.85624559224</v>
      </c>
      <c r="R65">
        <f>I65*$L$29</f>
        <v>0</v>
      </c>
      <c r="S65">
        <f>J65*$L$30</f>
        <v>0</v>
      </c>
      <c r="T65">
        <f>K65*$L$31</f>
        <v>0</v>
      </c>
      <c r="U65">
        <f>L65*$L$32</f>
        <v>0</v>
      </c>
      <c r="V65">
        <v>264</v>
      </c>
      <c r="W65" t="s">
        <v>516</v>
      </c>
    </row>
    <row r="66" spans="7:23">
      <c r="G66" t="s">
        <v>601</v>
      </c>
      <c r="H66">
        <v>104925.38689147421</v>
      </c>
      <c r="I66">
        <v>0</v>
      </c>
      <c r="J66">
        <v>0</v>
      </c>
      <c r="K66">
        <v>0</v>
      </c>
      <c r="L66">
        <v>0</v>
      </c>
      <c r="M66">
        <v>264</v>
      </c>
      <c r="P66" t="s">
        <v>601</v>
      </c>
      <c r="Q66">
        <f>H66*$L$28</f>
        <v>263289.85624559224</v>
      </c>
      <c r="R66">
        <f>I66*$L$29</f>
        <v>0</v>
      </c>
      <c r="S66">
        <f>J66*$L$30</f>
        <v>0</v>
      </c>
      <c r="T66">
        <f>K66*$L$31</f>
        <v>0</v>
      </c>
      <c r="U66">
        <f>L66*$L$32</f>
        <v>0</v>
      </c>
      <c r="V66">
        <v>264</v>
      </c>
    </row>
    <row r="67" spans="7:23">
      <c r="G67" t="s">
        <v>602</v>
      </c>
      <c r="H67">
        <v>42924.021910148535</v>
      </c>
      <c r="I67">
        <v>0</v>
      </c>
      <c r="J67">
        <v>0</v>
      </c>
      <c r="K67">
        <v>0</v>
      </c>
      <c r="L67">
        <v>0</v>
      </c>
      <c r="M67">
        <v>108</v>
      </c>
      <c r="P67" t="s">
        <v>602</v>
      </c>
      <c r="Q67">
        <f>H67*$L$28</f>
        <v>107709.48664592409</v>
      </c>
      <c r="R67">
        <f>I67*$L$29</f>
        <v>0</v>
      </c>
      <c r="S67">
        <f>J67*$L$30</f>
        <v>0</v>
      </c>
      <c r="T67">
        <f>K67*$L$31</f>
        <v>0</v>
      </c>
      <c r="U67">
        <f>L67*$L$32</f>
        <v>0</v>
      </c>
      <c r="V67">
        <v>108</v>
      </c>
    </row>
    <row r="68" spans="7:23">
      <c r="G68" t="s">
        <v>603</v>
      </c>
      <c r="H68">
        <v>0</v>
      </c>
      <c r="I68">
        <v>0</v>
      </c>
      <c r="J68">
        <v>0</v>
      </c>
      <c r="K68">
        <v>0</v>
      </c>
      <c r="L68">
        <v>0</v>
      </c>
      <c r="M68">
        <v>108</v>
      </c>
      <c r="P68" t="s">
        <v>603</v>
      </c>
      <c r="Q68">
        <f>H68*$L$28</f>
        <v>0</v>
      </c>
      <c r="R68">
        <f>I68*$L$29</f>
        <v>0</v>
      </c>
      <c r="S68">
        <f>J68*$L$30</f>
        <v>0</v>
      </c>
      <c r="T68">
        <f>K68*$L$31</f>
        <v>0</v>
      </c>
      <c r="U68">
        <f>L68*$L$32</f>
        <v>0</v>
      </c>
      <c r="V68">
        <v>108</v>
      </c>
    </row>
    <row r="69" spans="7:23">
      <c r="G69" t="s">
        <v>604</v>
      </c>
      <c r="H69">
        <v>0</v>
      </c>
      <c r="I69">
        <v>0</v>
      </c>
      <c r="J69">
        <v>0</v>
      </c>
      <c r="K69">
        <v>103354.50674329927</v>
      </c>
      <c r="L69">
        <v>0</v>
      </c>
      <c r="M69">
        <v>264</v>
      </c>
      <c r="N69" t="s">
        <v>517</v>
      </c>
      <c r="P69" t="s">
        <v>604</v>
      </c>
      <c r="Q69">
        <f>H69*$L$28</f>
        <v>0</v>
      </c>
      <c r="R69">
        <f>I69*$L$29</f>
        <v>0</v>
      </c>
      <c r="S69">
        <f>J69*$L$30</f>
        <v>0</v>
      </c>
      <c r="T69">
        <f>K69*$L$31</f>
        <v>263266.89634334837</v>
      </c>
      <c r="U69">
        <f>L69*$L$32</f>
        <v>0</v>
      </c>
      <c r="V69">
        <v>264</v>
      </c>
      <c r="W69" t="s">
        <v>517</v>
      </c>
    </row>
    <row r="70" spans="7:23">
      <c r="G70" t="s">
        <v>605</v>
      </c>
      <c r="H70">
        <v>0</v>
      </c>
      <c r="I70">
        <v>0</v>
      </c>
      <c r="J70">
        <v>0</v>
      </c>
      <c r="K70">
        <v>103354.50674329927</v>
      </c>
      <c r="L70">
        <v>0</v>
      </c>
      <c r="M70">
        <v>264</v>
      </c>
      <c r="P70" t="s">
        <v>605</v>
      </c>
      <c r="Q70">
        <f>H70*$L$28</f>
        <v>0</v>
      </c>
      <c r="R70">
        <f>I70*$L$29</f>
        <v>0</v>
      </c>
      <c r="S70">
        <f>J70*$L$30</f>
        <v>0</v>
      </c>
      <c r="T70">
        <f>K70*$L$31</f>
        <v>263266.89634334837</v>
      </c>
      <c r="U70">
        <f>L70*$L$32</f>
        <v>0</v>
      </c>
      <c r="V70">
        <v>264</v>
      </c>
    </row>
    <row r="71" spans="7:23">
      <c r="G71" t="s">
        <v>606</v>
      </c>
      <c r="H71">
        <v>0</v>
      </c>
      <c r="I71">
        <v>0</v>
      </c>
      <c r="J71">
        <v>0</v>
      </c>
      <c r="K71">
        <v>37583.456997563364</v>
      </c>
      <c r="L71">
        <v>0</v>
      </c>
      <c r="M71">
        <v>96</v>
      </c>
      <c r="P71" t="s">
        <v>606</v>
      </c>
      <c r="Q71">
        <f>H71*$L$28</f>
        <v>0</v>
      </c>
      <c r="R71">
        <f>I71*$L$29</f>
        <v>0</v>
      </c>
      <c r="S71">
        <f>J71*$L$30</f>
        <v>0</v>
      </c>
      <c r="T71">
        <f>K71*$L$31</f>
        <v>95733.416852126669</v>
      </c>
      <c r="U71">
        <f>L71*$L$32</f>
        <v>0</v>
      </c>
      <c r="V71">
        <v>96</v>
      </c>
    </row>
    <row r="72" spans="7:23">
      <c r="G72" t="s">
        <v>607</v>
      </c>
      <c r="H72">
        <v>0</v>
      </c>
      <c r="I72">
        <v>0</v>
      </c>
      <c r="J72">
        <v>0</v>
      </c>
      <c r="K72">
        <v>37583.456997563364</v>
      </c>
      <c r="L72">
        <v>0</v>
      </c>
      <c r="M72">
        <v>96</v>
      </c>
      <c r="P72" t="s">
        <v>607</v>
      </c>
      <c r="Q72">
        <f>H72*$L$28</f>
        <v>0</v>
      </c>
      <c r="R72">
        <f>I72*$L$29</f>
        <v>0</v>
      </c>
      <c r="S72">
        <f>J72*$L$30</f>
        <v>0</v>
      </c>
      <c r="T72">
        <f>K72*$L$31</f>
        <v>95733.416852126669</v>
      </c>
      <c r="U72">
        <f>L72*$L$32</f>
        <v>0</v>
      </c>
      <c r="V72">
        <v>96</v>
      </c>
    </row>
    <row r="73" spans="7:23">
      <c r="G73" t="s">
        <v>608</v>
      </c>
      <c r="H73">
        <v>0</v>
      </c>
      <c r="I73">
        <v>0</v>
      </c>
      <c r="J73">
        <v>0</v>
      </c>
      <c r="K73">
        <v>98665.439437960347</v>
      </c>
      <c r="L73">
        <v>0</v>
      </c>
      <c r="M73">
        <v>252</v>
      </c>
      <c r="N73" t="s">
        <v>518</v>
      </c>
      <c r="P73" t="s">
        <v>608</v>
      </c>
      <c r="Q73">
        <f>H73*$L$28</f>
        <v>0</v>
      </c>
      <c r="R73">
        <f>I73*$L$29</f>
        <v>0</v>
      </c>
      <c r="S73">
        <f>J73*$L$30</f>
        <v>0</v>
      </c>
      <c r="T73">
        <f>K73*$L$31</f>
        <v>251322.79990169342</v>
      </c>
      <c r="U73">
        <f>L73*$L$32</f>
        <v>0</v>
      </c>
      <c r="V73">
        <v>252</v>
      </c>
      <c r="W73" t="s">
        <v>518</v>
      </c>
    </row>
    <row r="74" spans="7:23">
      <c r="G74" t="s">
        <v>609</v>
      </c>
      <c r="H74">
        <v>0</v>
      </c>
      <c r="I74">
        <v>0</v>
      </c>
      <c r="J74">
        <v>0</v>
      </c>
      <c r="K74">
        <v>98665.439437960347</v>
      </c>
      <c r="L74">
        <v>0</v>
      </c>
      <c r="M74">
        <v>252</v>
      </c>
      <c r="P74" t="s">
        <v>609</v>
      </c>
      <c r="Q74">
        <f>H74*$L$28</f>
        <v>0</v>
      </c>
      <c r="R74">
        <f>I74*$L$29</f>
        <v>0</v>
      </c>
      <c r="S74">
        <f>J74*$L$30</f>
        <v>0</v>
      </c>
      <c r="T74">
        <f>K74*$L$31</f>
        <v>251322.79990169342</v>
      </c>
      <c r="U74">
        <f>L74*$L$32</f>
        <v>0</v>
      </c>
      <c r="V74">
        <v>252</v>
      </c>
    </row>
    <row r="75" spans="7:23">
      <c r="G75" t="s">
        <v>610</v>
      </c>
      <c r="H75">
        <v>0</v>
      </c>
      <c r="I75">
        <v>0</v>
      </c>
      <c r="J75">
        <v>0</v>
      </c>
      <c r="K75">
        <v>46983.542589504927</v>
      </c>
      <c r="L75">
        <v>0</v>
      </c>
      <c r="M75">
        <v>120</v>
      </c>
      <c r="P75" t="s">
        <v>610</v>
      </c>
      <c r="Q75">
        <f>H75*$L$28</f>
        <v>0</v>
      </c>
      <c r="R75">
        <f>I75*$L$29</f>
        <v>0</v>
      </c>
      <c r="S75">
        <f>J75*$L$30</f>
        <v>0</v>
      </c>
      <c r="T75">
        <f>K75*$L$31</f>
        <v>119677.52376271115</v>
      </c>
      <c r="U75">
        <f>L75*$L$32</f>
        <v>0</v>
      </c>
      <c r="V75">
        <v>120</v>
      </c>
    </row>
    <row r="76" spans="7:23">
      <c r="G76" t="s">
        <v>611</v>
      </c>
      <c r="H76">
        <v>0</v>
      </c>
      <c r="I76">
        <v>0</v>
      </c>
      <c r="J76">
        <v>0</v>
      </c>
      <c r="K76">
        <v>46983.542589504927</v>
      </c>
      <c r="L76">
        <v>0</v>
      </c>
      <c r="M76">
        <v>120</v>
      </c>
      <c r="P76" t="s">
        <v>611</v>
      </c>
      <c r="Q76">
        <f>H76*$L$28</f>
        <v>0</v>
      </c>
      <c r="R76">
        <f>I76*$L$29</f>
        <v>0</v>
      </c>
      <c r="S76">
        <f>J76*$L$30</f>
        <v>0</v>
      </c>
      <c r="T76">
        <f>K76*$L$31</f>
        <v>119677.52376271115</v>
      </c>
      <c r="U76">
        <f>L76*$L$32</f>
        <v>0</v>
      </c>
      <c r="V76">
        <v>120</v>
      </c>
    </row>
    <row r="77" spans="7:23">
      <c r="G77" t="s">
        <v>612</v>
      </c>
      <c r="H77">
        <v>533199.84293705027</v>
      </c>
      <c r="I77">
        <v>0</v>
      </c>
      <c r="J77">
        <v>0</v>
      </c>
      <c r="K77">
        <v>573173.89153665584</v>
      </c>
      <c r="L77">
        <v>15043.785543014499</v>
      </c>
      <c r="P77" t="s">
        <v>612</v>
      </c>
      <c r="Q77">
        <f>SUM(Q57:Q76)</f>
        <v>1337961.3281032897</v>
      </c>
      <c r="R77">
        <f>SUM(R57:R76)</f>
        <v>0</v>
      </c>
      <c r="S77">
        <f>SUM(S57:S76)</f>
        <v>0</v>
      </c>
      <c r="T77">
        <f>SUM(T57:T76)</f>
        <v>1460001.2737197592</v>
      </c>
      <c r="U77">
        <f>SUM(U57:U76)</f>
        <v>26326.624700275373</v>
      </c>
      <c r="W77">
        <f>SUM(Q77:U77)</f>
        <v>2824289.2265233239</v>
      </c>
    </row>
  </sheetData>
  <mergeCells count="3">
    <mergeCell ref="I26:I27"/>
    <mergeCell ref="J26:J27"/>
    <mergeCell ref="K26:K2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opLeftCell="K11" zoomScale="110" workbookViewId="0">
      <selection activeCell="L18" sqref="L18:P18"/>
    </sheetView>
  </sheetViews>
  <sheetFormatPr defaultColWidth="8.85546875" defaultRowHeight="15"/>
  <cols>
    <col min="1" max="6" width="18" customWidth="1"/>
    <col min="7" max="7" width="22" bestFit="1" customWidth="1"/>
    <col min="8" max="12" width="18" customWidth="1"/>
    <col min="13" max="13" width="23.7109375" customWidth="1"/>
    <col min="14" max="21" width="18" customWidth="1"/>
    <col min="22" max="22" width="14.28515625" customWidth="1"/>
    <col min="23" max="23" width="9.85546875" customWidth="1"/>
    <col min="24" max="24" width="15.7109375" customWidth="1"/>
    <col min="27" max="27" width="10.140625" customWidth="1"/>
    <col min="28" max="28" width="10.28515625" customWidth="1"/>
    <col min="29" max="29" width="12.42578125" customWidth="1"/>
    <col min="30" max="30" width="12" customWidth="1"/>
    <col min="31" max="31" width="10.140625" customWidth="1"/>
  </cols>
  <sheetData>
    <row r="1" spans="1:11">
      <c r="A1" s="77" t="s">
        <v>49</v>
      </c>
      <c r="B1" s="77" t="s">
        <v>646</v>
      </c>
      <c r="C1" s="77" t="s">
        <v>647</v>
      </c>
      <c r="D1" s="77" t="s">
        <v>60</v>
      </c>
      <c r="E1" s="77" t="s">
        <v>648</v>
      </c>
      <c r="J1" s="77" t="s">
        <v>47</v>
      </c>
      <c r="K1" s="77" t="s">
        <v>48</v>
      </c>
    </row>
    <row r="2" spans="1:11">
      <c r="A2" s="16" t="s">
        <v>50</v>
      </c>
      <c r="B2" s="16">
        <v>42.56</v>
      </c>
      <c r="C2" s="16">
        <v>25.81</v>
      </c>
      <c r="D2" s="16">
        <v>1.38</v>
      </c>
      <c r="E2" s="16" t="b">
        <v>0</v>
      </c>
      <c r="J2" s="16" t="s">
        <v>55</v>
      </c>
      <c r="K2" s="16">
        <v>0.35</v>
      </c>
    </row>
    <row r="3" spans="1:11">
      <c r="A3" s="16" t="s">
        <v>51</v>
      </c>
      <c r="B3" s="16">
        <v>43.93</v>
      </c>
      <c r="C3" s="16">
        <v>25.12</v>
      </c>
      <c r="D3" s="16">
        <v>0.7</v>
      </c>
      <c r="E3" s="16" t="b">
        <v>0</v>
      </c>
      <c r="J3" s="16" t="s">
        <v>57</v>
      </c>
      <c r="K3" s="16">
        <v>1000</v>
      </c>
    </row>
    <row r="4" spans="1:11">
      <c r="A4" s="16" t="s">
        <v>52</v>
      </c>
      <c r="B4" s="16">
        <v>43.8</v>
      </c>
      <c r="C4" s="16">
        <v>24.5</v>
      </c>
      <c r="D4" s="16">
        <v>0.35</v>
      </c>
      <c r="E4" s="16" t="b">
        <v>0</v>
      </c>
      <c r="J4" s="16" t="s">
        <v>59</v>
      </c>
      <c r="K4" s="16">
        <v>0.65</v>
      </c>
    </row>
    <row r="5" spans="1:11">
      <c r="A5" s="16" t="s">
        <v>53</v>
      </c>
      <c r="B5" s="16">
        <v>42</v>
      </c>
      <c r="C5" s="16">
        <v>26.2</v>
      </c>
      <c r="D5" s="16">
        <v>1.72</v>
      </c>
      <c r="E5" s="16" t="b">
        <v>0</v>
      </c>
      <c r="J5" s="16" t="s">
        <v>61</v>
      </c>
      <c r="K5" s="16">
        <v>0.8</v>
      </c>
    </row>
    <row r="6" spans="1:11">
      <c r="A6" s="16" t="s">
        <v>54</v>
      </c>
      <c r="B6" s="16">
        <v>73.77</v>
      </c>
      <c r="C6" s="16">
        <v>18</v>
      </c>
      <c r="D6" s="16">
        <v>0.01</v>
      </c>
      <c r="E6" s="16" t="b">
        <v>1</v>
      </c>
      <c r="J6" s="16" t="s">
        <v>62</v>
      </c>
      <c r="K6" s="16">
        <v>15</v>
      </c>
    </row>
    <row r="7" spans="1:11">
      <c r="J7" s="16" t="s">
        <v>63</v>
      </c>
      <c r="K7" s="16">
        <v>0.87</v>
      </c>
    </row>
    <row r="8" spans="1:11">
      <c r="A8" s="82"/>
      <c r="B8" s="82" t="s">
        <v>649</v>
      </c>
      <c r="C8" s="82" t="s">
        <v>650</v>
      </c>
      <c r="D8" s="82" t="s">
        <v>651</v>
      </c>
      <c r="E8" s="82" t="s">
        <v>652</v>
      </c>
      <c r="F8" s="82" t="s">
        <v>653</v>
      </c>
      <c r="J8" s="16" t="s">
        <v>64</v>
      </c>
      <c r="K8" s="16">
        <v>45</v>
      </c>
    </row>
    <row r="9" spans="1:11">
      <c r="A9" s="16" t="s">
        <v>50</v>
      </c>
      <c r="B9" s="16">
        <f>C2/(D2*0.01)</f>
        <v>1870.2898550724638</v>
      </c>
      <c r="C9" s="16">
        <f>B9*0.35/3.6</f>
        <v>181.83373590982285</v>
      </c>
      <c r="D9" s="16">
        <f>C2*0.35/3.6</f>
        <v>2.5093055555555552</v>
      </c>
      <c r="E9" s="16">
        <f>B2/D9</f>
        <v>16.960867880666413</v>
      </c>
      <c r="F9" s="83">
        <f>20*0.8*0.87</f>
        <v>13.92</v>
      </c>
      <c r="J9" s="8" t="s">
        <v>65</v>
      </c>
      <c r="K9" s="16">
        <v>9000</v>
      </c>
    </row>
    <row r="10" spans="1:11">
      <c r="A10" s="16" t="s">
        <v>51</v>
      </c>
      <c r="B10" s="16">
        <f>C3/(D3*0.01)</f>
        <v>3588.5714285714289</v>
      </c>
      <c r="C10" s="16">
        <f t="shared" ref="C10:C13" si="0">B10*0.35/3.6</f>
        <v>348.88888888888886</v>
      </c>
      <c r="D10" s="16">
        <f>C3*0.35/3.6</f>
        <v>2.4422222222222221</v>
      </c>
      <c r="E10" s="16">
        <f>B3/D10</f>
        <v>17.987716105550501</v>
      </c>
      <c r="F10" s="83">
        <f t="shared" ref="F10:F13" si="1">20*0.8*0.87</f>
        <v>13.92</v>
      </c>
      <c r="J10" s="8" t="s">
        <v>66</v>
      </c>
      <c r="K10" s="16">
        <v>600000</v>
      </c>
    </row>
    <row r="11" spans="1:11">
      <c r="A11" s="16" t="s">
        <v>52</v>
      </c>
      <c r="B11" s="16">
        <f>C4/(D4*0.01)</f>
        <v>7000.0000000000009</v>
      </c>
      <c r="C11" s="16">
        <f t="shared" si="0"/>
        <v>680.55555555555554</v>
      </c>
      <c r="D11" s="16">
        <f>C4*0.35/3.6</f>
        <v>2.3819444444444442</v>
      </c>
      <c r="E11" s="16">
        <f>B4/D11</f>
        <v>18.388338192419827</v>
      </c>
      <c r="F11" s="83">
        <f t="shared" si="1"/>
        <v>13.92</v>
      </c>
      <c r="J11" s="8" t="s">
        <v>67</v>
      </c>
      <c r="K11" s="16">
        <v>0.1</v>
      </c>
    </row>
    <row r="12" spans="1:11">
      <c r="A12" s="16" t="s">
        <v>53</v>
      </c>
      <c r="B12" s="16">
        <f>C5/(D5*0.01)</f>
        <v>1523.2558139534883</v>
      </c>
      <c r="C12" s="16">
        <f t="shared" si="0"/>
        <v>148.09431524547801</v>
      </c>
      <c r="D12" s="16">
        <f>C5*0.35/3.6</f>
        <v>2.5472222222222221</v>
      </c>
      <c r="E12" s="16">
        <f>B5/D12</f>
        <v>16.488549618320612</v>
      </c>
      <c r="F12" s="83">
        <f t="shared" si="1"/>
        <v>13.92</v>
      </c>
      <c r="J12" s="16" t="s">
        <v>68</v>
      </c>
      <c r="K12" s="16">
        <v>12</v>
      </c>
    </row>
    <row r="13" spans="1:11">
      <c r="A13" s="16" t="s">
        <v>54</v>
      </c>
      <c r="B13" s="16">
        <f>C6/(D6*0.01)</f>
        <v>180000</v>
      </c>
      <c r="C13" s="16">
        <f t="shared" si="0"/>
        <v>17499.999999999996</v>
      </c>
      <c r="D13" s="16">
        <f>C6*0.35/3.6</f>
        <v>1.75</v>
      </c>
      <c r="E13" s="16">
        <f>B6/D13</f>
        <v>42.154285714285713</v>
      </c>
      <c r="F13" s="83">
        <f t="shared" si="1"/>
        <v>13.92</v>
      </c>
      <c r="J13" s="16" t="s">
        <v>69</v>
      </c>
      <c r="K13" s="16">
        <v>12</v>
      </c>
    </row>
    <row r="14" spans="1:11">
      <c r="G14" s="9"/>
      <c r="J14" s="16" t="s">
        <v>70</v>
      </c>
      <c r="K14" s="16">
        <v>0</v>
      </c>
    </row>
    <row r="15" spans="1:11">
      <c r="J15" s="16" t="s">
        <v>71</v>
      </c>
      <c r="K15" s="16">
        <v>0</v>
      </c>
    </row>
    <row r="16" spans="1:11">
      <c r="J16" s="16" t="s">
        <v>72</v>
      </c>
      <c r="K16" s="16">
        <v>0</v>
      </c>
    </row>
    <row r="18" spans="1:23">
      <c r="F18" s="84" t="s">
        <v>654</v>
      </c>
      <c r="G18" s="84"/>
      <c r="H18" s="84"/>
      <c r="I18" s="84"/>
      <c r="J18" s="84"/>
      <c r="L18" s="84" t="s">
        <v>655</v>
      </c>
      <c r="M18" s="84"/>
      <c r="N18" s="84"/>
      <c r="O18" s="84"/>
      <c r="P18" s="84"/>
      <c r="S18" t="s">
        <v>656</v>
      </c>
    </row>
    <row r="19" spans="1:23">
      <c r="A19" s="77" t="s">
        <v>0</v>
      </c>
      <c r="B19" s="77" t="s">
        <v>657</v>
      </c>
      <c r="C19" s="77" t="s">
        <v>1</v>
      </c>
      <c r="D19" s="77" t="s">
        <v>658</v>
      </c>
      <c r="E19" s="53" t="s">
        <v>659</v>
      </c>
      <c r="F19" s="77" t="s">
        <v>3</v>
      </c>
      <c r="G19" s="77" t="s">
        <v>4</v>
      </c>
      <c r="H19" s="77" t="s">
        <v>5</v>
      </c>
      <c r="I19" s="77" t="s">
        <v>6</v>
      </c>
      <c r="J19" s="77" t="s">
        <v>7</v>
      </c>
      <c r="L19" s="77" t="s">
        <v>3</v>
      </c>
      <c r="M19" s="77" t="s">
        <v>4</v>
      </c>
      <c r="N19" s="77" t="s">
        <v>5</v>
      </c>
      <c r="O19" s="77" t="s">
        <v>6</v>
      </c>
      <c r="P19" s="77" t="s">
        <v>7</v>
      </c>
      <c r="S19" s="77" t="s">
        <v>3</v>
      </c>
      <c r="T19" s="77" t="s">
        <v>4</v>
      </c>
      <c r="U19" s="77" t="s">
        <v>5</v>
      </c>
      <c r="V19" s="77" t="s">
        <v>6</v>
      </c>
      <c r="W19" s="77" t="s">
        <v>7</v>
      </c>
    </row>
    <row r="20" spans="1:23">
      <c r="A20" s="4" t="s">
        <v>514</v>
      </c>
      <c r="B20" s="4" t="s">
        <v>519</v>
      </c>
      <c r="C20" s="5">
        <v>252</v>
      </c>
      <c r="D20" s="4">
        <v>36</v>
      </c>
      <c r="E20" s="4" t="s">
        <v>660</v>
      </c>
      <c r="F20" s="16">
        <f>D20-0.65-$E$9-10.44</f>
        <v>7.9491321193335889</v>
      </c>
      <c r="G20" s="16">
        <f>D20-0.65-10.44-$E$10</f>
        <v>6.9222838944495031</v>
      </c>
      <c r="H20" s="16">
        <f>D20-0.65-10.44-$E$11</f>
        <v>6.5216618075801769</v>
      </c>
      <c r="I20" s="16">
        <f>D20-0.65-10.44-$E$12</f>
        <v>8.4214503816793922</v>
      </c>
      <c r="J20" s="16">
        <f>D20+45-0.65-10.44-$E$13</f>
        <v>27.755714285714284</v>
      </c>
      <c r="L20" s="16">
        <f>$C$9*F20</f>
        <v>1445.4203904991941</v>
      </c>
      <c r="M20" s="16">
        <f>$C$10*G20</f>
        <v>2415.1079365079377</v>
      </c>
      <c r="N20" s="16">
        <f>$C$11*H20</f>
        <v>4438.3531746031758</v>
      </c>
      <c r="O20" s="16">
        <f>$C$12*I20</f>
        <v>1247.168927648579</v>
      </c>
      <c r="P20" s="16">
        <f>$C$13*J20</f>
        <v>485724.99999999988</v>
      </c>
      <c r="S20" s="85">
        <f>($C$2*0.35/3.6*(D20-0.65-0.8*0.87*15)-$B$2)</f>
        <v>19.946801388888879</v>
      </c>
      <c r="T20" s="85">
        <f>($C$3*0.35/3.6*(D20-0.65-0.8*0.87*15)-$B$3)</f>
        <v>16.905755555555551</v>
      </c>
      <c r="U20" s="85">
        <f>($C$4*0.35/3.6*(D20-0.65-0.8*0.87*15)-$B$4)</f>
        <v>15.534236111111106</v>
      </c>
      <c r="V20" s="85">
        <f>($C$5*0.35/3.6*(D20-0.65-0.8*0.87*15)-$B$5)</f>
        <v>21.45130555555555</v>
      </c>
      <c r="W20" s="86">
        <f>($C$6*0.35/3.6*(D20+45-0.65-0.8*0.87*15)-$B$6)</f>
        <v>48.572500000000005</v>
      </c>
    </row>
    <row r="21" spans="1:23">
      <c r="A21" s="4" t="s">
        <v>514</v>
      </c>
      <c r="B21" s="4" t="s">
        <v>521</v>
      </c>
      <c r="C21" s="5">
        <v>252</v>
      </c>
      <c r="D21" s="4">
        <v>27</v>
      </c>
      <c r="E21" s="4" t="s">
        <v>661</v>
      </c>
      <c r="F21" s="16">
        <f>D21-0.65-$E$9-10.44</f>
        <v>-1.0508678806664111</v>
      </c>
      <c r="G21" s="16">
        <f>D21-0.65-10.44-$E$10</f>
        <v>-2.0777161055504987</v>
      </c>
      <c r="H21" s="16">
        <f>D21-0.65-10.44-$E$11</f>
        <v>-2.4783381924198249</v>
      </c>
      <c r="I21" s="16">
        <f>D21-0.65-10.44-$E$12</f>
        <v>-0.57854961832060958</v>
      </c>
      <c r="J21" s="16">
        <f>D21+45-0.65-10.44-$E$13</f>
        <v>18.755714285714284</v>
      </c>
      <c r="L21" s="16">
        <f>$C$9*F21</f>
        <v>-191.08323268921143</v>
      </c>
      <c r="M21" s="16">
        <f>$C$10*G21</f>
        <v>-724.89206349206279</v>
      </c>
      <c r="N21" s="16">
        <f>$C$11*H21</f>
        <v>-1686.6468253968253</v>
      </c>
      <c r="O21" s="16">
        <f>$C$12*I21</f>
        <v>-85.679909560723331</v>
      </c>
      <c r="P21" s="16">
        <f>$C$13*J21</f>
        <v>328224.99999999988</v>
      </c>
      <c r="S21" s="85">
        <f t="shared" ref="S21:S39" si="2">($C$2*0.35/3.6*(D21-0.65-0.8*0.87*15)-$B$2)</f>
        <v>-2.6369486111111158</v>
      </c>
      <c r="T21" s="85">
        <f t="shared" ref="T21:T39" si="3">($C$3*0.35/3.6*(D21-0.65-0.8*0.87*15)-$B$3)</f>
        <v>-5.0742444444444459</v>
      </c>
      <c r="U21" s="85">
        <f t="shared" ref="U21:U39" si="4">($C$4*0.35/3.6*(D21-0.65-0.8*0.87*15)-$B$4)</f>
        <v>-5.9032638888888869</v>
      </c>
      <c r="V21" s="85">
        <f t="shared" ref="V21:V39" si="5">($C$5*0.35/3.6*(D21-0.65-0.8*0.87*15)-$B$5)</f>
        <v>-1.4736944444444475</v>
      </c>
      <c r="W21" s="86">
        <f t="shared" ref="W21:W39" si="6">($C$6*0.35/3.6*(D21+45-0.65-0.8*0.87*15)-$B$6)</f>
        <v>32.822500000000005</v>
      </c>
    </row>
    <row r="22" spans="1:23">
      <c r="A22" s="4" t="s">
        <v>514</v>
      </c>
      <c r="B22" s="4" t="s">
        <v>525</v>
      </c>
      <c r="C22" s="5">
        <v>108</v>
      </c>
      <c r="D22" s="4">
        <v>33.5</v>
      </c>
      <c r="E22" s="4" t="s">
        <v>662</v>
      </c>
      <c r="F22" s="16">
        <f>D22-0.65-$E$9-10.44</f>
        <v>5.4491321193335889</v>
      </c>
      <c r="G22" s="16">
        <f>D22-0.65-10.44-$E$10</f>
        <v>4.4222838944495031</v>
      </c>
      <c r="H22" s="16">
        <f>D22-0.65-10.44-$E$11</f>
        <v>4.0216618075801769</v>
      </c>
      <c r="I22" s="16">
        <f>D22-0.65-10.44-$E$12</f>
        <v>5.9214503816793922</v>
      </c>
      <c r="J22" s="16">
        <f>D22+45-0.65-10.44-$E$13</f>
        <v>25.255714285714284</v>
      </c>
      <c r="L22" s="16">
        <f>$C$9*F22</f>
        <v>990.83605072463706</v>
      </c>
      <c r="M22" s="16">
        <f>$C$10*G22</f>
        <v>1542.8857142857155</v>
      </c>
      <c r="N22" s="16">
        <f>$C$11*H22</f>
        <v>2736.9642857142871</v>
      </c>
      <c r="O22" s="16">
        <f>$C$12*I22</f>
        <v>876.93313953488405</v>
      </c>
      <c r="P22" s="16">
        <f>$C$13*J22</f>
        <v>441974.99999999988</v>
      </c>
      <c r="S22" s="85">
        <f t="shared" si="2"/>
        <v>13.673537499999988</v>
      </c>
      <c r="T22" s="85">
        <f t="shared" si="3"/>
        <v>10.800199999999997</v>
      </c>
      <c r="U22" s="85">
        <f t="shared" si="4"/>
        <v>9.5793749999999989</v>
      </c>
      <c r="V22" s="85">
        <f t="shared" si="5"/>
        <v>15.08325</v>
      </c>
      <c r="W22" s="86">
        <f t="shared" si="6"/>
        <v>44.197500000000005</v>
      </c>
    </row>
    <row r="23" spans="1:23">
      <c r="A23" s="4" t="s">
        <v>514</v>
      </c>
      <c r="B23" s="4" t="s">
        <v>528</v>
      </c>
      <c r="C23" s="5">
        <v>108</v>
      </c>
      <c r="D23" s="4">
        <v>26.2</v>
      </c>
      <c r="E23" s="4" t="s">
        <v>663</v>
      </c>
      <c r="F23" s="16">
        <f>D23-0.65-$E$9-10.44</f>
        <v>-1.8508678806664118</v>
      </c>
      <c r="G23" s="16">
        <f>D23-0.65-10.44-$E$10</f>
        <v>-2.8777161055504994</v>
      </c>
      <c r="H23" s="16">
        <f>D23-0.65-10.44-$E$11</f>
        <v>-3.2783381924198256</v>
      </c>
      <c r="I23" s="16">
        <f>D23-0.65-10.44-$E$12</f>
        <v>-1.3785496183206103</v>
      </c>
      <c r="J23" s="16">
        <f>D23+45-0.65-10.44-$E$13</f>
        <v>17.955714285714286</v>
      </c>
      <c r="L23" s="16">
        <f>$C$9*F23</f>
        <v>-336.55022141706985</v>
      </c>
      <c r="M23" s="16">
        <f>$C$10*G23</f>
        <v>-1004.0031746031741</v>
      </c>
      <c r="N23" s="16">
        <f>$C$11*H23</f>
        <v>-2231.0912698412703</v>
      </c>
      <c r="O23" s="16">
        <f>$C$12*I23</f>
        <v>-204.15536175710585</v>
      </c>
      <c r="P23" s="16">
        <f>$C$13*J23</f>
        <v>314224.99999999994</v>
      </c>
      <c r="S23" s="85">
        <f t="shared" si="2"/>
        <v>-4.644393055555561</v>
      </c>
      <c r="T23" s="85">
        <f t="shared" si="3"/>
        <v>-7.0280222222222264</v>
      </c>
      <c r="U23" s="85">
        <f t="shared" si="4"/>
        <v>-7.8088194444444454</v>
      </c>
      <c r="V23" s="85">
        <f t="shared" si="5"/>
        <v>-3.5114722222222241</v>
      </c>
      <c r="W23" s="86">
        <f t="shared" si="6"/>
        <v>31.422499999999999</v>
      </c>
    </row>
    <row r="24" spans="1:23">
      <c r="A24" t="s">
        <v>515</v>
      </c>
      <c r="B24" t="s">
        <v>519</v>
      </c>
      <c r="C24" s="1">
        <v>276</v>
      </c>
      <c r="D24">
        <v>36.35</v>
      </c>
      <c r="E24" t="s">
        <v>664</v>
      </c>
      <c r="F24" s="16">
        <f>D24-0.65-$E$9-10.44</f>
        <v>8.2991321193335903</v>
      </c>
      <c r="G24" s="16">
        <f>D24-0.65-10.44-$E$10</f>
        <v>7.2722838944495045</v>
      </c>
      <c r="H24" s="16">
        <f>D24-0.65-10.44-$E$11</f>
        <v>6.8716618075801783</v>
      </c>
      <c r="I24" s="16">
        <f>D24-0.65-10.44-$E$12</f>
        <v>8.7714503816793936</v>
      </c>
      <c r="J24" s="16">
        <f>D24+45-0.65-10.44-$E$13</f>
        <v>28.105714285714278</v>
      </c>
      <c r="L24" s="16">
        <f>$C$9*F24</f>
        <v>1509.0621980676324</v>
      </c>
      <c r="M24" s="16">
        <f>$C$10*G24</f>
        <v>2537.219047619049</v>
      </c>
      <c r="N24" s="16">
        <f>$C$11*H24</f>
        <v>4676.5476190476211</v>
      </c>
      <c r="O24" s="16">
        <f>$C$12*I24</f>
        <v>1299.0019379844966</v>
      </c>
      <c r="P24" s="16">
        <f>$C$13*J24</f>
        <v>491849.99999999977</v>
      </c>
      <c r="S24" s="85">
        <f t="shared" si="2"/>
        <v>20.825058333333324</v>
      </c>
      <c r="T24" s="85">
        <f t="shared" si="3"/>
        <v>17.760533333333335</v>
      </c>
      <c r="U24" s="85">
        <f t="shared" si="4"/>
        <v>16.367916666666666</v>
      </c>
      <c r="V24" s="85">
        <f t="shared" si="5"/>
        <v>22.342833333333331</v>
      </c>
      <c r="W24" s="86">
        <f t="shared" si="6"/>
        <v>49.184999999999988</v>
      </c>
    </row>
    <row r="25" spans="1:23">
      <c r="A25" t="s">
        <v>515</v>
      </c>
      <c r="B25" t="s">
        <v>521</v>
      </c>
      <c r="C25" s="1">
        <v>276</v>
      </c>
      <c r="D25">
        <v>27</v>
      </c>
      <c r="E25" t="s">
        <v>665</v>
      </c>
      <c r="F25" s="16">
        <f>D25-0.65-$E$9-10.44</f>
        <v>-1.0508678806664111</v>
      </c>
      <c r="G25" s="16">
        <f>D25-0.65-10.44-$E$10</f>
        <v>-2.0777161055504987</v>
      </c>
      <c r="H25" s="16">
        <f>D25-0.65-10.44-$E$11</f>
        <v>-2.4783381924198249</v>
      </c>
      <c r="I25" s="16">
        <f>D25-0.65-10.44-$E$12</f>
        <v>-0.57854961832060958</v>
      </c>
      <c r="J25" s="16">
        <f>D25+45-0.65-10.44-$E$13</f>
        <v>18.755714285714284</v>
      </c>
      <c r="L25" s="16">
        <f>$C$9*F25</f>
        <v>-191.08323268921143</v>
      </c>
      <c r="M25" s="16">
        <f>$C$10*G25</f>
        <v>-724.89206349206279</v>
      </c>
      <c r="N25" s="16">
        <f>$C$11*H25</f>
        <v>-1686.6468253968253</v>
      </c>
      <c r="O25" s="16">
        <f>$C$12*I25</f>
        <v>-85.679909560723331</v>
      </c>
      <c r="P25" s="16">
        <f>$C$13*J25</f>
        <v>328224.99999999988</v>
      </c>
      <c r="S25" s="85">
        <f t="shared" si="2"/>
        <v>-2.6369486111111158</v>
      </c>
      <c r="T25" s="85">
        <f t="shared" si="3"/>
        <v>-5.0742444444444459</v>
      </c>
      <c r="U25" s="85">
        <f t="shared" si="4"/>
        <v>-5.9032638888888869</v>
      </c>
      <c r="V25" s="85">
        <f t="shared" si="5"/>
        <v>-1.4736944444444475</v>
      </c>
      <c r="W25" s="86">
        <f t="shared" si="6"/>
        <v>32.822500000000005</v>
      </c>
    </row>
    <row r="26" spans="1:23">
      <c r="A26" t="s">
        <v>515</v>
      </c>
      <c r="B26" t="s">
        <v>525</v>
      </c>
      <c r="C26" s="1">
        <v>96</v>
      </c>
      <c r="D26">
        <v>34.299999999999997</v>
      </c>
      <c r="E26" t="s">
        <v>666</v>
      </c>
      <c r="F26" s="16">
        <f>D26-0.65-$E$9-10.44</f>
        <v>6.249132119333586</v>
      </c>
      <c r="G26" s="16">
        <f>D26-0.65-10.44-$E$10</f>
        <v>5.2222838944495003</v>
      </c>
      <c r="H26" s="16">
        <f>D26-0.65-10.44-$E$11</f>
        <v>4.821661807580174</v>
      </c>
      <c r="I26" s="16">
        <f>D26-0.65-10.44-$E$12</f>
        <v>6.7214503816793894</v>
      </c>
      <c r="J26" s="16">
        <f>D26+45-0.65-10.44-$E$13</f>
        <v>26.055714285714281</v>
      </c>
      <c r="L26" s="16">
        <f>$C$9*F26</f>
        <v>1136.3030394524949</v>
      </c>
      <c r="M26" s="16">
        <f>$C$10*G26</f>
        <v>1821.9968253968254</v>
      </c>
      <c r="N26" s="16">
        <f>$C$11*H26</f>
        <v>3281.4087301587297</v>
      </c>
      <c r="O26" s="16">
        <f>$C$12*I26</f>
        <v>995.40859173126603</v>
      </c>
      <c r="P26" s="16">
        <f>$C$13*J26</f>
        <v>455974.99999999983</v>
      </c>
      <c r="S26" s="85">
        <f t="shared" si="2"/>
        <v>15.680981944444426</v>
      </c>
      <c r="T26" s="85">
        <f t="shared" si="3"/>
        <v>12.75397777777777</v>
      </c>
      <c r="U26" s="85">
        <f t="shared" si="4"/>
        <v>11.484930555555543</v>
      </c>
      <c r="V26" s="85">
        <f t="shared" si="5"/>
        <v>17.121027777777769</v>
      </c>
      <c r="W26" s="86">
        <f t="shared" si="6"/>
        <v>45.597499999999997</v>
      </c>
    </row>
    <row r="27" spans="1:23">
      <c r="A27" t="s">
        <v>515</v>
      </c>
      <c r="B27" t="s">
        <v>528</v>
      </c>
      <c r="C27" s="1">
        <v>96</v>
      </c>
      <c r="D27">
        <v>26.3</v>
      </c>
      <c r="E27" t="s">
        <v>667</v>
      </c>
      <c r="F27" s="16">
        <f>D27-0.65-$E$9-10.44</f>
        <v>-1.7508678806664104</v>
      </c>
      <c r="G27" s="16">
        <f>D27-0.65-10.44-$E$10</f>
        <v>-2.777716105550498</v>
      </c>
      <c r="H27" s="16">
        <f>D27-0.65-10.44-$E$11</f>
        <v>-3.1783381924198242</v>
      </c>
      <c r="I27" s="16">
        <f>D27-0.65-10.44-$E$12</f>
        <v>-1.2785496183206089</v>
      </c>
      <c r="J27" s="16">
        <f>D27+45-0.65-10.44-$E$13</f>
        <v>18.055714285714281</v>
      </c>
      <c r="L27" s="16">
        <f>$C$9*F27</f>
        <v>-318.36684782608728</v>
      </c>
      <c r="M27" s="16">
        <f>$C$10*G27</f>
        <v>-969.11428571428473</v>
      </c>
      <c r="N27" s="16">
        <f>$C$11*H27</f>
        <v>-2163.0357142857138</v>
      </c>
      <c r="O27" s="16">
        <f>$C$12*I27</f>
        <v>-189.34593023255783</v>
      </c>
      <c r="P27" s="16">
        <f>$C$13*J27</f>
        <v>315974.99999999983</v>
      </c>
      <c r="S27" s="85">
        <f t="shared" si="2"/>
        <v>-4.3934625000000054</v>
      </c>
      <c r="T27" s="85">
        <f t="shared" si="3"/>
        <v>-6.7837999999999994</v>
      </c>
      <c r="U27" s="85">
        <f t="shared" si="4"/>
        <v>-7.5706249999999997</v>
      </c>
      <c r="V27" s="85">
        <f t="shared" si="5"/>
        <v>-3.2567500000000038</v>
      </c>
      <c r="W27" s="86">
        <f t="shared" si="6"/>
        <v>31.597499999999997</v>
      </c>
    </row>
    <row r="28" spans="1:23">
      <c r="A28" t="s">
        <v>516</v>
      </c>
      <c r="B28" t="s">
        <v>519</v>
      </c>
      <c r="C28" s="1">
        <v>252</v>
      </c>
      <c r="D28">
        <v>37.65</v>
      </c>
      <c r="E28" t="s">
        <v>668</v>
      </c>
      <c r="F28" s="16">
        <f>D28-0.65-$E$9-10.44</f>
        <v>9.5991321193335875</v>
      </c>
      <c r="G28" s="16">
        <f>D28-0.65-10.44-$E$10</f>
        <v>8.5722838944495017</v>
      </c>
      <c r="H28" s="16">
        <f>D28-0.65-10.44-$E$11</f>
        <v>8.1716618075801755</v>
      </c>
      <c r="I28" s="16">
        <f>D28-0.65-10.44-$E$12</f>
        <v>10.071450381679391</v>
      </c>
      <c r="J28" s="16">
        <f>D28+45-0.65-10.44-$E$13</f>
        <v>29.405714285714289</v>
      </c>
      <c r="L28" s="16">
        <f>$C$9*F28</f>
        <v>1745.4460547504016</v>
      </c>
      <c r="M28" s="16">
        <f>$C$10*G28</f>
        <v>2990.7746031746037</v>
      </c>
      <c r="N28" s="16">
        <f>$C$11*H28</f>
        <v>5561.2698412698419</v>
      </c>
      <c r="O28" s="16">
        <f>$C$12*I28</f>
        <v>1491.5245478036177</v>
      </c>
      <c r="P28" s="16">
        <f>$C$13*J28</f>
        <v>514599.99999999994</v>
      </c>
      <c r="S28" s="85">
        <f t="shared" si="2"/>
        <v>24.08715555555554</v>
      </c>
      <c r="T28" s="85">
        <f t="shared" si="3"/>
        <v>20.935422222222222</v>
      </c>
      <c r="U28" s="85">
        <f t="shared" si="4"/>
        <v>19.464444444444439</v>
      </c>
      <c r="V28" s="85">
        <f t="shared" si="5"/>
        <v>25.654222222222216</v>
      </c>
      <c r="W28" s="86">
        <f t="shared" si="6"/>
        <v>51.460000000000008</v>
      </c>
    </row>
    <row r="29" spans="1:23">
      <c r="A29" t="s">
        <v>516</v>
      </c>
      <c r="B29" t="s">
        <v>521</v>
      </c>
      <c r="C29" s="1">
        <v>252</v>
      </c>
      <c r="D29">
        <v>28.2</v>
      </c>
      <c r="E29" t="s">
        <v>669</v>
      </c>
      <c r="F29" s="16">
        <f>D29-0.65-$E$9-10.44</f>
        <v>0.14913211933358816</v>
      </c>
      <c r="G29" s="16">
        <f>D29-0.65-10.44-$E$10</f>
        <v>-0.87771610555050117</v>
      </c>
      <c r="H29" s="16">
        <f>D29-0.65-10.44-$E$11</f>
        <v>-1.2783381924198274</v>
      </c>
      <c r="I29" s="16">
        <f>D29-0.65-10.44-$E$12</f>
        <v>0.62145038167938793</v>
      </c>
      <c r="J29" s="16">
        <f>D29+45-0.65-10.44-$E$13</f>
        <v>19.955714285714286</v>
      </c>
      <c r="L29" s="16">
        <f>$C$9*F29</f>
        <v>27.117250402575856</v>
      </c>
      <c r="M29" s="16">
        <f>$C$10*G29</f>
        <v>-306.22539682539707</v>
      </c>
      <c r="N29" s="16">
        <f>$C$11*H29</f>
        <v>-869.98015873016027</v>
      </c>
      <c r="O29" s="16">
        <f>$C$12*I29</f>
        <v>92.033268733849908</v>
      </c>
      <c r="P29" s="16">
        <f>$C$13*J29</f>
        <v>349224.99999999994</v>
      </c>
      <c r="S29" s="85">
        <f t="shared" si="2"/>
        <v>0.37421805555554499</v>
      </c>
      <c r="T29" s="85">
        <f t="shared" si="3"/>
        <v>-2.1435777777777787</v>
      </c>
      <c r="U29" s="85">
        <f t="shared" si="4"/>
        <v>-3.0449305555555597</v>
      </c>
      <c r="V29" s="85">
        <f t="shared" si="5"/>
        <v>1.5829722222222173</v>
      </c>
      <c r="W29" s="86">
        <f t="shared" si="6"/>
        <v>34.922499999999999</v>
      </c>
    </row>
    <row r="30" spans="1:23">
      <c r="A30" t="s">
        <v>516</v>
      </c>
      <c r="B30" t="s">
        <v>525</v>
      </c>
      <c r="C30" s="1">
        <v>120</v>
      </c>
      <c r="D30">
        <v>35.65</v>
      </c>
      <c r="E30" t="s">
        <v>670</v>
      </c>
      <c r="F30" s="16">
        <f>D30-0.65-$E$9-10.44</f>
        <v>7.5991321193335875</v>
      </c>
      <c r="G30" s="16">
        <f>D30-0.65-10.44-$E$10</f>
        <v>6.5722838944495017</v>
      </c>
      <c r="H30" s="16">
        <f>D30-0.65-10.44-$E$11</f>
        <v>6.1716618075801755</v>
      </c>
      <c r="I30" s="16">
        <f>D30-0.65-10.44-$E$12</f>
        <v>8.0714503816793908</v>
      </c>
      <c r="J30" s="16">
        <f>D30+45-0.65-10.44-$E$13</f>
        <v>27.405714285714289</v>
      </c>
      <c r="L30" s="16">
        <f>$C$9*F30</f>
        <v>1381.7785829307559</v>
      </c>
      <c r="M30" s="16">
        <f>$C$10*G30</f>
        <v>2292.9968253968259</v>
      </c>
      <c r="N30" s="16">
        <f>$C$11*H30</f>
        <v>4200.1587301587306</v>
      </c>
      <c r="O30" s="16">
        <f>$C$12*I30</f>
        <v>1195.3359173126616</v>
      </c>
      <c r="P30" s="16">
        <f>$C$13*J30</f>
        <v>479599.99999999994</v>
      </c>
      <c r="S30" s="85">
        <f t="shared" si="2"/>
        <v>19.068544444444434</v>
      </c>
      <c r="T30" s="85">
        <f t="shared" si="3"/>
        <v>16.050977777777774</v>
      </c>
      <c r="U30" s="85">
        <f t="shared" si="4"/>
        <v>14.700555555555546</v>
      </c>
      <c r="V30" s="85">
        <f t="shared" si="5"/>
        <v>20.559777777777768</v>
      </c>
      <c r="W30" s="86">
        <f t="shared" si="6"/>
        <v>47.960000000000008</v>
      </c>
    </row>
    <row r="31" spans="1:23">
      <c r="A31" t="s">
        <v>516</v>
      </c>
      <c r="B31" t="s">
        <v>528</v>
      </c>
      <c r="C31" s="1">
        <v>120</v>
      </c>
      <c r="D31">
        <v>27.5</v>
      </c>
      <c r="E31" t="s">
        <v>671</v>
      </c>
      <c r="F31" s="16">
        <f>D31-0.65-$E$9-10.44</f>
        <v>-0.55086788066641112</v>
      </c>
      <c r="G31" s="16">
        <f>D31-0.65-10.44-$E$10</f>
        <v>-1.5777161055504969</v>
      </c>
      <c r="H31" s="16">
        <f>D31-0.65-10.44-$E$11</f>
        <v>-1.9783381924198231</v>
      </c>
      <c r="I31" s="16">
        <f>D31-0.65-10.44-$E$12</f>
        <v>-7.8549618320607806E-2</v>
      </c>
      <c r="J31" s="16">
        <f>D31+45-0.65-10.44-$E$13</f>
        <v>19.255714285714284</v>
      </c>
      <c r="L31" s="16">
        <f>$C$9*F31</f>
        <v>-100.1663647343</v>
      </c>
      <c r="M31" s="16">
        <f>$C$10*G31</f>
        <v>-550.44761904761776</v>
      </c>
      <c r="N31" s="16">
        <f>$C$11*H31</f>
        <v>-1346.3690476190463</v>
      </c>
      <c r="O31" s="16">
        <f>$C$12*I31</f>
        <v>-11.632751937984068</v>
      </c>
      <c r="P31" s="16">
        <f>$C$13*J31</f>
        <v>336974.99999999988</v>
      </c>
      <c r="S31" s="85">
        <f t="shared" si="2"/>
        <v>-1.3822958333333375</v>
      </c>
      <c r="T31" s="85">
        <f t="shared" si="3"/>
        <v>-3.8531333333333322</v>
      </c>
      <c r="U31" s="85">
        <f t="shared" si="4"/>
        <v>-4.7122916666666654</v>
      </c>
      <c r="V31" s="85">
        <f t="shared" si="5"/>
        <v>-0.20008333333333894</v>
      </c>
      <c r="W31" s="86">
        <f t="shared" si="6"/>
        <v>33.697500000000005</v>
      </c>
    </row>
    <row r="32" spans="1:23">
      <c r="A32" t="s">
        <v>517</v>
      </c>
      <c r="B32" t="s">
        <v>519</v>
      </c>
      <c r="C32" s="1">
        <v>264</v>
      </c>
      <c r="D32">
        <v>38.35</v>
      </c>
      <c r="E32" t="s">
        <v>672</v>
      </c>
      <c r="F32" s="16">
        <f>D32-0.65-$E$9-10.44</f>
        <v>10.29913211933359</v>
      </c>
      <c r="G32" s="16">
        <f>D32-0.65-10.44-$E$10</f>
        <v>9.2722838944495045</v>
      </c>
      <c r="H32" s="16">
        <f>D32-0.65-10.44-$E$11</f>
        <v>8.8716618075801783</v>
      </c>
      <c r="I32" s="16">
        <f>D32-0.65-10.44-$E$12</f>
        <v>10.771450381679394</v>
      </c>
      <c r="J32" s="16">
        <f>D32+45-0.65-10.44-$E$13</f>
        <v>30.105714285714278</v>
      </c>
      <c r="L32" s="16">
        <f>$C$9*F32</f>
        <v>1872.7296698872781</v>
      </c>
      <c r="M32" s="16">
        <f>$C$10*G32</f>
        <v>3234.9968253968268</v>
      </c>
      <c r="N32" s="16">
        <f>$C$11*H32</f>
        <v>6037.6587301587324</v>
      </c>
      <c r="O32" s="16">
        <f>$C$12*I32</f>
        <v>1595.1905684754527</v>
      </c>
      <c r="P32" s="16">
        <f>$C$13*J32</f>
        <v>526849.99999999977</v>
      </c>
      <c r="S32" s="85">
        <f t="shared" si="2"/>
        <v>25.843669444444444</v>
      </c>
      <c r="T32" s="85">
        <f t="shared" si="3"/>
        <v>22.644977777777775</v>
      </c>
      <c r="U32" s="85">
        <f t="shared" si="4"/>
        <v>21.131805555555559</v>
      </c>
      <c r="V32" s="85">
        <f t="shared" si="5"/>
        <v>27.43727777777778</v>
      </c>
      <c r="W32" s="86">
        <f t="shared" si="6"/>
        <v>52.684999999999988</v>
      </c>
    </row>
    <row r="33" spans="1:23">
      <c r="A33" t="s">
        <v>517</v>
      </c>
      <c r="B33" t="s">
        <v>521</v>
      </c>
      <c r="C33" s="1">
        <v>264</v>
      </c>
      <c r="D33">
        <v>28.5</v>
      </c>
      <c r="E33" t="s">
        <v>673</v>
      </c>
      <c r="F33" s="16">
        <f>D33-0.65-$E$9-10.44</f>
        <v>0.44913211933358888</v>
      </c>
      <c r="G33" s="16">
        <f>D33-0.65-10.44-$E$10</f>
        <v>-0.57771610555049691</v>
      </c>
      <c r="H33" s="16">
        <f>D33-0.65-10.44-$E$11</f>
        <v>-0.97833819241982312</v>
      </c>
      <c r="I33" s="16">
        <f>D33-0.65-10.44-$E$12</f>
        <v>0.92145038167939219</v>
      </c>
      <c r="J33" s="16">
        <f>D33+45-0.65-10.44-$E$13</f>
        <v>20.255714285714284</v>
      </c>
      <c r="L33" s="16">
        <f>$C$9*F33</f>
        <v>81.667371175522845</v>
      </c>
      <c r="M33" s="16">
        <f>$C$10*G33</f>
        <v>-201.55873015872891</v>
      </c>
      <c r="N33" s="16">
        <f>$C$11*H33</f>
        <v>-665.81349206349068</v>
      </c>
      <c r="O33" s="16">
        <f>$C$12*I33</f>
        <v>136.46156330749395</v>
      </c>
      <c r="P33" s="16">
        <f>$C$13*J33</f>
        <v>354474.99999999988</v>
      </c>
      <c r="S33" s="85">
        <f t="shared" si="2"/>
        <v>1.127009722222212</v>
      </c>
      <c r="T33" s="85">
        <f t="shared" si="3"/>
        <v>-1.4109111111111119</v>
      </c>
      <c r="U33" s="85">
        <f t="shared" si="4"/>
        <v>-2.3303472222222226</v>
      </c>
      <c r="V33" s="85">
        <f t="shared" si="5"/>
        <v>2.3471388888888853</v>
      </c>
      <c r="W33" s="86">
        <f t="shared" si="6"/>
        <v>35.447500000000005</v>
      </c>
    </row>
    <row r="34" spans="1:23">
      <c r="A34" t="s">
        <v>517</v>
      </c>
      <c r="B34" t="s">
        <v>525</v>
      </c>
      <c r="C34" s="1">
        <v>96</v>
      </c>
      <c r="D34">
        <v>35.799999999999997</v>
      </c>
      <c r="E34" t="s">
        <v>674</v>
      </c>
      <c r="F34" s="16">
        <f>D34-0.65-$E$9-10.44</f>
        <v>7.749132119333586</v>
      </c>
      <c r="G34" s="16">
        <f>D34-0.65-10.44-$E$10</f>
        <v>6.7222838944495003</v>
      </c>
      <c r="H34" s="16">
        <f>D34-0.65-10.44-$E$11</f>
        <v>6.321661807580174</v>
      </c>
      <c r="I34" s="16">
        <f>D34-0.65-10.44-$E$12</f>
        <v>8.2214503816793894</v>
      </c>
      <c r="J34" s="16">
        <f>D34+45-0.65-10.44-$E$13</f>
        <v>27.555714285714281</v>
      </c>
      <c r="L34" s="16">
        <f>$C$9*F34</f>
        <v>1409.0536433172292</v>
      </c>
      <c r="M34" s="16">
        <f>$C$10*G34</f>
        <v>2345.3301587301589</v>
      </c>
      <c r="N34" s="16">
        <f>$C$11*H34</f>
        <v>4302.2420634920627</v>
      </c>
      <c r="O34" s="16">
        <f>$C$12*I34</f>
        <v>1217.550064599483</v>
      </c>
      <c r="P34" s="16">
        <f>$C$13*J34</f>
        <v>482224.99999999983</v>
      </c>
      <c r="S34" s="85">
        <f t="shared" si="2"/>
        <v>19.444940277777761</v>
      </c>
      <c r="T34" s="85">
        <f t="shared" si="3"/>
        <v>16.417311111111104</v>
      </c>
      <c r="U34" s="85">
        <f t="shared" si="4"/>
        <v>15.057847222222215</v>
      </c>
      <c r="V34" s="85">
        <f t="shared" si="5"/>
        <v>20.941861111111102</v>
      </c>
      <c r="W34" s="86">
        <f t="shared" si="6"/>
        <v>48.222499999999997</v>
      </c>
    </row>
    <row r="35" spans="1:23">
      <c r="A35" t="s">
        <v>517</v>
      </c>
      <c r="B35" t="s">
        <v>528</v>
      </c>
      <c r="C35" s="1">
        <v>96</v>
      </c>
      <c r="D35">
        <v>27.65</v>
      </c>
      <c r="E35" t="s">
        <v>675</v>
      </c>
      <c r="F35" s="16">
        <f>D35-0.65-$E$9-10.44</f>
        <v>-0.40086788066641255</v>
      </c>
      <c r="G35" s="16">
        <f>D35-0.65-10.44-$E$10</f>
        <v>-1.4277161055504983</v>
      </c>
      <c r="H35" s="16">
        <f>D35-0.65-10.44-$E$11</f>
        <v>-1.8283381924198245</v>
      </c>
      <c r="I35" s="16">
        <f>D35-0.65-10.44-$E$12</f>
        <v>7.1450381679390773E-2</v>
      </c>
      <c r="J35" s="16">
        <f>D35+45-0.65-10.44-$E$13</f>
        <v>19.405714285714289</v>
      </c>
      <c r="L35" s="16">
        <f>$C$9*F35</f>
        <v>-72.891304347826846</v>
      </c>
      <c r="M35" s="16">
        <f>$C$10*G35</f>
        <v>-498.1142857142849</v>
      </c>
      <c r="N35" s="16">
        <f>$C$11*H35</f>
        <v>-1244.285714285714</v>
      </c>
      <c r="O35" s="16">
        <f>$C$12*I35</f>
        <v>10.581395348837423</v>
      </c>
      <c r="P35" s="16">
        <f>$C$13*J35</f>
        <v>339600</v>
      </c>
      <c r="S35" s="85">
        <f t="shared" si="2"/>
        <v>-1.0059000000000111</v>
      </c>
      <c r="T35" s="85">
        <f t="shared" si="3"/>
        <v>-3.4868000000000023</v>
      </c>
      <c r="U35" s="85">
        <f t="shared" si="4"/>
        <v>-4.355000000000004</v>
      </c>
      <c r="V35" s="85">
        <f t="shared" si="5"/>
        <v>0.18199999999999505</v>
      </c>
      <c r="W35" s="86">
        <f t="shared" si="6"/>
        <v>33.960000000000008</v>
      </c>
    </row>
    <row r="36" spans="1:23">
      <c r="A36" t="s">
        <v>518</v>
      </c>
      <c r="B36" t="s">
        <v>519</v>
      </c>
      <c r="C36" s="1">
        <v>276</v>
      </c>
      <c r="D36">
        <v>43.7</v>
      </c>
      <c r="E36" t="s">
        <v>676</v>
      </c>
      <c r="F36" s="16">
        <f>D36-0.65-$E$9-10.44</f>
        <v>15.649132119333592</v>
      </c>
      <c r="G36" s="16">
        <f>D36-0.65-10.44-$E$10</f>
        <v>14.622283894449506</v>
      </c>
      <c r="H36" s="16">
        <f>D36-0.65-10.44-$E$11</f>
        <v>14.22166180758018</v>
      </c>
      <c r="I36" s="16">
        <f>D36-0.65-10.44-$E$12</f>
        <v>16.121450381679395</v>
      </c>
      <c r="J36" s="16">
        <f>D36+45-0.65-10.44-$E$13</f>
        <v>35.455714285714286</v>
      </c>
      <c r="L36" s="16">
        <f>$C$9*F36</f>
        <v>2845.5401570048307</v>
      </c>
      <c r="M36" s="16">
        <f>$C$10*G36</f>
        <v>5101.5523809523829</v>
      </c>
      <c r="N36" s="16">
        <f>$C$11*H36</f>
        <v>9678.6309523809559</v>
      </c>
      <c r="O36" s="16">
        <f>$C$12*I36</f>
        <v>2387.49515503876</v>
      </c>
      <c r="P36" s="16">
        <f>$C$13*J36</f>
        <v>620474.99999999988</v>
      </c>
      <c r="S36" s="85">
        <f t="shared" si="2"/>
        <v>39.268454166666658</v>
      </c>
      <c r="T36" s="85">
        <f t="shared" si="3"/>
        <v>35.710866666666654</v>
      </c>
      <c r="U36" s="85">
        <f t="shared" si="4"/>
        <v>33.875208333333333</v>
      </c>
      <c r="V36" s="85">
        <f t="shared" si="5"/>
        <v>41.064916666666662</v>
      </c>
      <c r="W36" s="86">
        <f t="shared" si="6"/>
        <v>62.047499999999999</v>
      </c>
    </row>
    <row r="37" spans="1:23">
      <c r="A37" t="s">
        <v>518</v>
      </c>
      <c r="B37" t="s">
        <v>521</v>
      </c>
      <c r="C37" s="1">
        <v>276</v>
      </c>
      <c r="D37">
        <v>31.7</v>
      </c>
      <c r="E37" t="s">
        <v>677</v>
      </c>
      <c r="F37" s="16">
        <f>D37-0.65-$E$9-10.44</f>
        <v>3.6491321193335882</v>
      </c>
      <c r="G37" s="16">
        <f>D37-0.65-10.44-$E$10</f>
        <v>2.6222838944494988</v>
      </c>
      <c r="H37" s="16">
        <f>D37-0.65-10.44-$E$11</f>
        <v>2.2216618075801726</v>
      </c>
      <c r="I37" s="16">
        <f>D37-0.65-10.44-$E$12</f>
        <v>4.1214503816793879</v>
      </c>
      <c r="J37" s="16">
        <f>D37+45-0.65-10.44-$E$13</f>
        <v>23.455714285714286</v>
      </c>
      <c r="L37" s="16">
        <f>$C$9*F37</f>
        <v>663.53532608695582</v>
      </c>
      <c r="M37" s="16">
        <f>$C$10*G37</f>
        <v>914.8857142857139</v>
      </c>
      <c r="N37" s="16">
        <f>$C$11*H37</f>
        <v>1511.9642857142842</v>
      </c>
      <c r="O37" s="16">
        <f>$C$12*I37</f>
        <v>610.36337209302292</v>
      </c>
      <c r="P37" s="16">
        <f>$C$13*J37</f>
        <v>410474.99999999994</v>
      </c>
      <c r="S37" s="85">
        <f t="shared" si="2"/>
        <v>9.156787499999993</v>
      </c>
      <c r="T37" s="85">
        <f t="shared" si="3"/>
        <v>6.4041999999999959</v>
      </c>
      <c r="U37" s="85">
        <f t="shared" si="4"/>
        <v>5.2918749999999974</v>
      </c>
      <c r="V37" s="85">
        <f t="shared" si="5"/>
        <v>10.498249999999992</v>
      </c>
      <c r="W37" s="86">
        <f t="shared" si="6"/>
        <v>41.047499999999999</v>
      </c>
    </row>
    <row r="38" spans="1:23">
      <c r="A38" t="s">
        <v>518</v>
      </c>
      <c r="B38" t="s">
        <v>525</v>
      </c>
      <c r="C38" s="1">
        <v>96</v>
      </c>
      <c r="D38">
        <v>38.700000000000003</v>
      </c>
      <c r="E38" t="s">
        <v>678</v>
      </c>
      <c r="F38" s="16">
        <f>D38-0.65-$E$9-10.44</f>
        <v>10.649132119333592</v>
      </c>
      <c r="G38" s="16">
        <f>D38-0.65-10.44-$E$10</f>
        <v>9.6222838944495059</v>
      </c>
      <c r="H38" s="16">
        <f>D38-0.65-10.44-$E$11</f>
        <v>9.2216618075801797</v>
      </c>
      <c r="I38" s="16">
        <f>D38-0.65-10.44-$E$12</f>
        <v>11.121450381679395</v>
      </c>
      <c r="J38" s="16">
        <f>D38+45-0.65-10.44-$E$13</f>
        <v>30.455714285714286</v>
      </c>
      <c r="L38" s="16">
        <f>$C$9*F38</f>
        <v>1936.3714774557163</v>
      </c>
      <c r="M38" s="16">
        <f>$C$10*G38</f>
        <v>3357.1079365079386</v>
      </c>
      <c r="N38" s="16">
        <f>$C$11*H38</f>
        <v>6275.8531746031776</v>
      </c>
      <c r="O38" s="16">
        <f>$C$12*I38</f>
        <v>1647.02357881137</v>
      </c>
      <c r="P38" s="16">
        <f>$C$13*J38</f>
        <v>532974.99999999988</v>
      </c>
      <c r="S38" s="85">
        <f t="shared" si="2"/>
        <v>26.721926388888889</v>
      </c>
      <c r="T38" s="85">
        <f t="shared" si="3"/>
        <v>23.499755555555559</v>
      </c>
      <c r="U38" s="85">
        <f t="shared" si="4"/>
        <v>21.965486111111119</v>
      </c>
      <c r="V38" s="85">
        <f t="shared" si="5"/>
        <v>28.328805555555562</v>
      </c>
      <c r="W38" s="86">
        <f t="shared" si="6"/>
        <v>53.297499999999999</v>
      </c>
    </row>
    <row r="39" spans="1:23">
      <c r="A39" t="s">
        <v>518</v>
      </c>
      <c r="B39" t="s">
        <v>528</v>
      </c>
      <c r="C39" s="1">
        <v>96</v>
      </c>
      <c r="D39">
        <v>30.1</v>
      </c>
      <c r="E39" t="s">
        <v>679</v>
      </c>
      <c r="F39" s="16">
        <f>D39-0.65-$E$9-10.44</f>
        <v>2.0491321193335903</v>
      </c>
      <c r="G39" s="16">
        <f>D39-0.65-10.44-$E$10</f>
        <v>1.0222838944495045</v>
      </c>
      <c r="H39" s="16">
        <f>D39-0.65-10.44-$E$11</f>
        <v>0.6216618075801783</v>
      </c>
      <c r="I39" s="16">
        <f>D39-0.65-10.44-$E$12</f>
        <v>2.5214503816793936</v>
      </c>
      <c r="J39" s="16">
        <f>D39+45-0.65-10.44-$E$13</f>
        <v>21.855714285714278</v>
      </c>
      <c r="L39" s="16">
        <f>$C$9*F39</f>
        <v>372.60134863123966</v>
      </c>
      <c r="M39" s="16">
        <f>$C$10*G39</f>
        <v>356.66349206349378</v>
      </c>
      <c r="N39" s="16">
        <f>$C$11*H39</f>
        <v>423.07539682539914</v>
      </c>
      <c r="O39" s="16">
        <f>$C$12*I39</f>
        <v>373.41246770025896</v>
      </c>
      <c r="P39" s="16">
        <f>$C$13*J39</f>
        <v>382474.99999999977</v>
      </c>
      <c r="S39" s="85">
        <f t="shared" si="2"/>
        <v>5.1418986111111096</v>
      </c>
      <c r="T39" s="85">
        <f t="shared" si="3"/>
        <v>2.4966444444444491</v>
      </c>
      <c r="U39" s="85">
        <f t="shared" si="4"/>
        <v>1.4807638888888874</v>
      </c>
      <c r="V39" s="85">
        <f t="shared" si="5"/>
        <v>6.4226944444444456</v>
      </c>
      <c r="W39" s="86">
        <f t="shared" si="6"/>
        <v>38.247499999999988</v>
      </c>
    </row>
  </sheetData>
  <mergeCells count="2">
    <mergeCell ref="F18:J18"/>
    <mergeCell ref="L18:P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="138" workbookViewId="0">
      <selection activeCell="F8" sqref="F8:K12"/>
    </sheetView>
  </sheetViews>
  <sheetFormatPr defaultColWidth="8.85546875" defaultRowHeight="15"/>
  <cols>
    <col min="1" max="3" width="18" customWidth="1"/>
    <col min="4" max="4" width="13.85546875" bestFit="1" customWidth="1"/>
    <col min="5" max="5" width="24" bestFit="1" customWidth="1"/>
    <col min="6" max="6" width="24.28515625" customWidth="1"/>
    <col min="7" max="21" width="18" customWidth="1"/>
  </cols>
  <sheetData>
    <row r="1" spans="1:5">
      <c r="A1" s="77" t="s">
        <v>0</v>
      </c>
      <c r="B1" s="77" t="s">
        <v>657</v>
      </c>
      <c r="C1" s="77" t="s">
        <v>1</v>
      </c>
      <c r="D1" s="77" t="s">
        <v>658</v>
      </c>
      <c r="E1" s="77" t="s">
        <v>659</v>
      </c>
    </row>
    <row r="2" spans="1:5">
      <c r="A2" s="4" t="s">
        <v>514</v>
      </c>
      <c r="B2" s="4" t="s">
        <v>519</v>
      </c>
      <c r="C2" s="5">
        <v>252</v>
      </c>
      <c r="D2" s="4">
        <v>36</v>
      </c>
      <c r="E2" s="4" t="s">
        <v>660</v>
      </c>
    </row>
    <row r="3" spans="1:5">
      <c r="A3" s="4" t="s">
        <v>514</v>
      </c>
      <c r="B3" s="4" t="s">
        <v>521</v>
      </c>
      <c r="C3" s="5">
        <v>252</v>
      </c>
      <c r="D3" s="4">
        <v>27</v>
      </c>
      <c r="E3" s="4" t="s">
        <v>661</v>
      </c>
    </row>
    <row r="4" spans="1:5">
      <c r="A4" s="4" t="s">
        <v>514</v>
      </c>
      <c r="B4" s="4" t="s">
        <v>525</v>
      </c>
      <c r="C4" s="5">
        <v>108</v>
      </c>
      <c r="D4" s="4">
        <v>33.5</v>
      </c>
      <c r="E4" s="4" t="s">
        <v>662</v>
      </c>
    </row>
    <row r="5" spans="1:5">
      <c r="A5" s="4" t="s">
        <v>514</v>
      </c>
      <c r="B5" s="4" t="s">
        <v>528</v>
      </c>
      <c r="C5" s="5">
        <v>108</v>
      </c>
      <c r="D5" s="4">
        <v>26.2</v>
      </c>
      <c r="E5" s="4" t="s">
        <v>663</v>
      </c>
    </row>
    <row r="6" spans="1:5">
      <c r="A6" t="s">
        <v>515</v>
      </c>
      <c r="B6" t="s">
        <v>519</v>
      </c>
      <c r="C6" s="1">
        <v>276</v>
      </c>
      <c r="D6">
        <v>36.35</v>
      </c>
      <c r="E6" t="s">
        <v>664</v>
      </c>
    </row>
    <row r="7" spans="1:5">
      <c r="A7" t="s">
        <v>515</v>
      </c>
      <c r="B7" t="s">
        <v>521</v>
      </c>
      <c r="C7" s="1">
        <v>276</v>
      </c>
      <c r="D7">
        <v>27</v>
      </c>
      <c r="E7" t="s">
        <v>665</v>
      </c>
    </row>
    <row r="8" spans="1:5">
      <c r="A8" t="s">
        <v>515</v>
      </c>
      <c r="B8" t="s">
        <v>525</v>
      </c>
      <c r="C8" s="1">
        <v>96</v>
      </c>
      <c r="D8">
        <v>34.299999999999997</v>
      </c>
      <c r="E8" t="s">
        <v>666</v>
      </c>
    </row>
    <row r="9" spans="1:5">
      <c r="A9" t="s">
        <v>515</v>
      </c>
      <c r="B9" t="s">
        <v>528</v>
      </c>
      <c r="C9" s="1">
        <v>96</v>
      </c>
      <c r="D9">
        <v>26.3</v>
      </c>
      <c r="E9" t="s">
        <v>667</v>
      </c>
    </row>
    <row r="10" spans="1:5">
      <c r="A10" t="s">
        <v>516</v>
      </c>
      <c r="B10" t="s">
        <v>519</v>
      </c>
      <c r="C10" s="1">
        <v>252</v>
      </c>
      <c r="D10">
        <v>37.65</v>
      </c>
      <c r="E10" t="s">
        <v>668</v>
      </c>
    </row>
    <row r="11" spans="1:5">
      <c r="A11" t="s">
        <v>516</v>
      </c>
      <c r="B11" t="s">
        <v>521</v>
      </c>
      <c r="C11" s="1">
        <v>252</v>
      </c>
      <c r="D11">
        <v>28.2</v>
      </c>
      <c r="E11" t="s">
        <v>669</v>
      </c>
    </row>
    <row r="12" spans="1:5">
      <c r="A12" t="s">
        <v>516</v>
      </c>
      <c r="B12" t="s">
        <v>525</v>
      </c>
      <c r="C12" s="1">
        <v>120</v>
      </c>
      <c r="D12">
        <v>35.65</v>
      </c>
      <c r="E12" t="s">
        <v>670</v>
      </c>
    </row>
    <row r="13" spans="1:5">
      <c r="A13" t="s">
        <v>516</v>
      </c>
      <c r="B13" t="s">
        <v>528</v>
      </c>
      <c r="C13" s="1">
        <v>120</v>
      </c>
      <c r="D13">
        <v>27.5</v>
      </c>
      <c r="E13" t="s">
        <v>671</v>
      </c>
    </row>
    <row r="14" spans="1:5">
      <c r="A14" t="s">
        <v>517</v>
      </c>
      <c r="B14" t="s">
        <v>519</v>
      </c>
      <c r="C14" s="1">
        <v>264</v>
      </c>
      <c r="D14">
        <v>38.35</v>
      </c>
      <c r="E14" t="s">
        <v>672</v>
      </c>
    </row>
    <row r="15" spans="1:5">
      <c r="A15" t="s">
        <v>517</v>
      </c>
      <c r="B15" t="s">
        <v>521</v>
      </c>
      <c r="C15" s="1">
        <v>264</v>
      </c>
      <c r="D15">
        <v>28.5</v>
      </c>
      <c r="E15" t="s">
        <v>673</v>
      </c>
    </row>
    <row r="16" spans="1:5">
      <c r="A16" t="s">
        <v>517</v>
      </c>
      <c r="B16" t="s">
        <v>525</v>
      </c>
      <c r="C16" s="1">
        <v>96</v>
      </c>
      <c r="D16">
        <v>35.799999999999997</v>
      </c>
      <c r="E16" t="s">
        <v>674</v>
      </c>
    </row>
    <row r="17" spans="1:5">
      <c r="A17" t="s">
        <v>517</v>
      </c>
      <c r="B17" t="s">
        <v>528</v>
      </c>
      <c r="C17" s="1">
        <v>96</v>
      </c>
      <c r="D17">
        <v>27.65</v>
      </c>
      <c r="E17" t="s">
        <v>675</v>
      </c>
    </row>
    <row r="18" spans="1:5">
      <c r="A18" t="s">
        <v>518</v>
      </c>
      <c r="B18" t="s">
        <v>519</v>
      </c>
      <c r="C18" s="1">
        <v>276</v>
      </c>
      <c r="D18">
        <v>43.7</v>
      </c>
      <c r="E18" t="s">
        <v>676</v>
      </c>
    </row>
    <row r="19" spans="1:5">
      <c r="A19" t="s">
        <v>518</v>
      </c>
      <c r="B19" t="s">
        <v>521</v>
      </c>
      <c r="C19" s="1">
        <v>276</v>
      </c>
      <c r="D19">
        <v>31.7</v>
      </c>
      <c r="E19" t="s">
        <v>677</v>
      </c>
    </row>
    <row r="20" spans="1:5">
      <c r="A20" t="s">
        <v>518</v>
      </c>
      <c r="B20" t="s">
        <v>525</v>
      </c>
      <c r="C20" s="1">
        <v>96</v>
      </c>
      <c r="D20">
        <v>38.700000000000003</v>
      </c>
      <c r="E20" t="s">
        <v>678</v>
      </c>
    </row>
    <row r="21" spans="1:5">
      <c r="A21" t="s">
        <v>518</v>
      </c>
      <c r="B21" t="s">
        <v>528</v>
      </c>
      <c r="C21" s="1">
        <v>96</v>
      </c>
      <c r="D21">
        <v>30.1</v>
      </c>
      <c r="E21" t="s">
        <v>679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topLeftCell="A2" workbookViewId="0">
      <selection activeCell="C25" sqref="C25"/>
    </sheetView>
  </sheetViews>
  <sheetFormatPr defaultColWidth="8.85546875" defaultRowHeight="15"/>
  <cols>
    <col min="1" max="21" width="18" customWidth="1"/>
  </cols>
  <sheetData>
    <row r="1" spans="1:8">
      <c r="A1" s="87" t="s">
        <v>0</v>
      </c>
      <c r="B1" s="87" t="s">
        <v>519</v>
      </c>
      <c r="C1" s="87" t="s">
        <v>521</v>
      </c>
      <c r="D1" s="87" t="s">
        <v>525</v>
      </c>
      <c r="E1" s="87" t="s">
        <v>528</v>
      </c>
      <c r="F1" s="77" t="s">
        <v>680</v>
      </c>
      <c r="G1" s="77" t="s">
        <v>681</v>
      </c>
      <c r="H1" s="88" t="s">
        <v>682</v>
      </c>
    </row>
    <row r="2" spans="1:8">
      <c r="A2" s="87" t="s">
        <v>514</v>
      </c>
      <c r="B2" s="1">
        <v>252</v>
      </c>
      <c r="C2" s="1">
        <v>252</v>
      </c>
      <c r="D2" s="1">
        <v>108</v>
      </c>
      <c r="E2" s="1">
        <v>108</v>
      </c>
      <c r="F2">
        <f>IF(C2="","",C2*Params!$K$11)</f>
        <v>25.200000000000003</v>
      </c>
      <c r="G2">
        <f>IF(C2="","",C2*Params!$K$12)</f>
        <v>3024</v>
      </c>
      <c r="H2">
        <f>SUM(B2:E2)</f>
        <v>720</v>
      </c>
    </row>
    <row r="3" spans="1:8">
      <c r="A3" s="87" t="s">
        <v>515</v>
      </c>
      <c r="B3" s="1">
        <v>276</v>
      </c>
      <c r="C3" s="1">
        <v>276</v>
      </c>
      <c r="D3" s="1">
        <v>96</v>
      </c>
      <c r="E3" s="1">
        <v>96</v>
      </c>
      <c r="F3">
        <f>IF(C3="","",C3*Params!$K$11)</f>
        <v>27.6</v>
      </c>
      <c r="G3">
        <f>IF(C3="","",C3*Params!$K$12)</f>
        <v>3312</v>
      </c>
      <c r="H3">
        <f t="shared" ref="H3:H6" si="0">SUM(B3:E3)</f>
        <v>744</v>
      </c>
    </row>
    <row r="4" spans="1:8">
      <c r="A4" s="87" t="s">
        <v>516</v>
      </c>
      <c r="B4" s="1">
        <v>252</v>
      </c>
      <c r="C4" s="1">
        <v>252</v>
      </c>
      <c r="D4" s="1">
        <v>120</v>
      </c>
      <c r="E4" s="1">
        <v>120</v>
      </c>
      <c r="F4">
        <f>IF(C4="","",C4*Params!$K$11)</f>
        <v>25.200000000000003</v>
      </c>
      <c r="G4">
        <f>IF(C4="","",C4*Params!$K$12)</f>
        <v>3024</v>
      </c>
      <c r="H4">
        <f t="shared" si="0"/>
        <v>744</v>
      </c>
    </row>
    <row r="5" spans="1:8">
      <c r="A5" s="87" t="s">
        <v>517</v>
      </c>
      <c r="B5" s="1">
        <v>264</v>
      </c>
      <c r="C5" s="1">
        <v>264</v>
      </c>
      <c r="D5" s="1">
        <v>96</v>
      </c>
      <c r="E5" s="1">
        <v>96</v>
      </c>
      <c r="F5">
        <f>IF(C5="","",C5*Params!$K$11)</f>
        <v>26.400000000000002</v>
      </c>
      <c r="G5">
        <f>IF(C5="","",C5*Params!$K$12)</f>
        <v>3168</v>
      </c>
      <c r="H5">
        <f t="shared" si="0"/>
        <v>720</v>
      </c>
    </row>
    <row r="6" spans="1:8">
      <c r="A6" s="87" t="s">
        <v>518</v>
      </c>
      <c r="B6" s="1">
        <v>276</v>
      </c>
      <c r="C6" s="1">
        <v>276</v>
      </c>
      <c r="D6" s="1">
        <v>96</v>
      </c>
      <c r="E6" s="1">
        <v>96</v>
      </c>
      <c r="F6">
        <f>IF(C6="","",C6*Params!$K$11)</f>
        <v>27.6</v>
      </c>
      <c r="G6">
        <f>IF(C6="","",C6*Params!$K$12)</f>
        <v>3312</v>
      </c>
      <c r="H6">
        <f t="shared" si="0"/>
        <v>744</v>
      </c>
    </row>
    <row r="9" spans="1:8">
      <c r="A9" s="89" t="s">
        <v>0</v>
      </c>
      <c r="B9" s="3" t="s">
        <v>683</v>
      </c>
      <c r="C9" s="89" t="s">
        <v>684</v>
      </c>
      <c r="D9" s="89" t="s">
        <v>685</v>
      </c>
      <c r="E9" s="89" t="s">
        <v>686</v>
      </c>
      <c r="F9" s="89" t="s">
        <v>680</v>
      </c>
      <c r="G9" s="89" t="s">
        <v>681</v>
      </c>
    </row>
    <row r="10" spans="1:8">
      <c r="A10" s="89" t="s">
        <v>514</v>
      </c>
      <c r="B10" s="2">
        <v>21</v>
      </c>
      <c r="C10" s="2">
        <v>9</v>
      </c>
      <c r="D10" s="2">
        <v>252</v>
      </c>
      <c r="E10" s="2">
        <v>252</v>
      </c>
      <c r="F10" s="2">
        <v>108</v>
      </c>
      <c r="G10" s="2">
        <v>108</v>
      </c>
    </row>
    <row r="11" spans="1:8">
      <c r="A11" s="89" t="s">
        <v>515</v>
      </c>
      <c r="B11" s="2">
        <v>23</v>
      </c>
      <c r="C11" s="2">
        <v>8</v>
      </c>
      <c r="D11" s="2">
        <v>276</v>
      </c>
      <c r="E11" s="2">
        <v>276</v>
      </c>
      <c r="F11" s="2">
        <v>96</v>
      </c>
      <c r="G11" s="2">
        <v>96</v>
      </c>
    </row>
    <row r="12" spans="1:8">
      <c r="A12" s="89" t="s">
        <v>516</v>
      </c>
      <c r="B12" s="2">
        <v>21</v>
      </c>
      <c r="C12" s="2">
        <v>10</v>
      </c>
      <c r="D12" s="2">
        <v>252</v>
      </c>
      <c r="E12" s="2">
        <v>252</v>
      </c>
      <c r="F12" s="2">
        <v>120</v>
      </c>
      <c r="G12" s="2">
        <v>120</v>
      </c>
    </row>
    <row r="13" spans="1:8">
      <c r="A13" s="89" t="s">
        <v>517</v>
      </c>
      <c r="B13" s="2">
        <v>22</v>
      </c>
      <c r="C13" s="2">
        <v>8</v>
      </c>
      <c r="D13" s="2">
        <v>264</v>
      </c>
      <c r="E13" s="2">
        <v>264</v>
      </c>
      <c r="F13" s="2">
        <v>96</v>
      </c>
      <c r="G13" s="2">
        <v>96</v>
      </c>
    </row>
    <row r="14" spans="1:8">
      <c r="A14" s="89" t="s">
        <v>518</v>
      </c>
      <c r="B14" s="2">
        <v>23</v>
      </c>
      <c r="C14" s="2">
        <v>8</v>
      </c>
      <c r="D14" s="2">
        <v>276</v>
      </c>
      <c r="E14" s="2">
        <v>276</v>
      </c>
      <c r="F14" s="2">
        <v>96</v>
      </c>
      <c r="G14" s="2">
        <v>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8"/>
  <sheetViews>
    <sheetView topLeftCell="F42" zoomScale="125" zoomScaleNormal="160" workbookViewId="0">
      <selection activeCell="I81" sqref="I81"/>
    </sheetView>
  </sheetViews>
  <sheetFormatPr defaultColWidth="8.85546875" defaultRowHeight="15"/>
  <cols>
    <col min="1" max="1" width="24.85546875" customWidth="1"/>
    <col min="2" max="9" width="18" customWidth="1"/>
    <col min="10" max="10" width="16.28515625" customWidth="1"/>
    <col min="11" max="11" width="19.85546875" bestFit="1" customWidth="1"/>
    <col min="12" max="21" width="18" customWidth="1"/>
    <col min="22" max="23" width="18.42578125" bestFit="1" customWidth="1"/>
    <col min="24" max="24" width="13.28515625" bestFit="1" customWidth="1"/>
    <col min="25" max="25" width="11.140625" bestFit="1" customWidth="1"/>
    <col min="26" max="28" width="9" bestFit="1" customWidth="1"/>
    <col min="29" max="29" width="15.85546875" customWidth="1"/>
    <col min="30" max="34" width="11.140625" bestFit="1" customWidth="1"/>
  </cols>
  <sheetData>
    <row r="1" spans="1:24">
      <c r="A1" t="s">
        <v>687</v>
      </c>
      <c r="D1" s="77" t="s">
        <v>49</v>
      </c>
      <c r="E1" s="82" t="s">
        <v>50</v>
      </c>
      <c r="F1" s="82" t="s">
        <v>51</v>
      </c>
      <c r="G1" s="82" t="s">
        <v>52</v>
      </c>
      <c r="H1" s="82" t="s">
        <v>53</v>
      </c>
      <c r="I1" s="82" t="s">
        <v>54</v>
      </c>
    </row>
    <row r="2" spans="1:24">
      <c r="D2" s="77" t="s">
        <v>56</v>
      </c>
      <c r="E2" s="16">
        <v>42.56</v>
      </c>
      <c r="F2" s="16">
        <v>43.93</v>
      </c>
      <c r="G2" s="16">
        <v>43.8</v>
      </c>
      <c r="H2" s="16">
        <v>42</v>
      </c>
      <c r="I2" s="16">
        <v>73.77</v>
      </c>
      <c r="K2">
        <f>H19*H3/G3</f>
        <v>32122.992290544877</v>
      </c>
    </row>
    <row r="3" spans="1:24">
      <c r="D3" s="77" t="s">
        <v>58</v>
      </c>
      <c r="E3" s="16">
        <v>25.81</v>
      </c>
      <c r="F3" s="16">
        <v>25.12</v>
      </c>
      <c r="G3" s="16">
        <v>24.5</v>
      </c>
      <c r="H3" s="16">
        <v>26.2</v>
      </c>
      <c r="I3" s="16">
        <v>18</v>
      </c>
    </row>
    <row r="4" spans="1:24">
      <c r="D4" s="77" t="s">
        <v>60</v>
      </c>
      <c r="E4" s="16">
        <v>1.38</v>
      </c>
      <c r="F4" s="16">
        <v>0.7</v>
      </c>
      <c r="G4" s="16">
        <v>0.35</v>
      </c>
      <c r="H4" s="16">
        <v>1.72</v>
      </c>
      <c r="I4" s="16">
        <v>0.01</v>
      </c>
    </row>
    <row r="5" spans="1:24" ht="15.95" thickBot="1"/>
    <row r="6" spans="1:24" ht="15.95" thickBot="1">
      <c r="A6" s="18" t="s">
        <v>0</v>
      </c>
      <c r="B6" s="19" t="s">
        <v>1</v>
      </c>
      <c r="C6" s="19" t="s">
        <v>688</v>
      </c>
      <c r="D6" s="19" t="s">
        <v>689</v>
      </c>
      <c r="E6" s="19" t="s">
        <v>3</v>
      </c>
      <c r="F6" s="19" t="s">
        <v>4</v>
      </c>
      <c r="G6" s="19" t="s">
        <v>5</v>
      </c>
      <c r="H6" s="19" t="s">
        <v>6</v>
      </c>
      <c r="I6" s="20" t="s">
        <v>7</v>
      </c>
      <c r="J6" s="90" t="s">
        <v>8</v>
      </c>
      <c r="K6" s="77" t="s">
        <v>9</v>
      </c>
      <c r="L6" s="77" t="s">
        <v>690</v>
      </c>
      <c r="M6" s="77" t="s">
        <v>658</v>
      </c>
      <c r="N6" s="77" t="s">
        <v>12</v>
      </c>
      <c r="O6" s="77" t="s">
        <v>13</v>
      </c>
      <c r="P6" s="77" t="s">
        <v>14</v>
      </c>
      <c r="Q6" s="77" t="s">
        <v>15</v>
      </c>
      <c r="R6" s="77" t="s">
        <v>16</v>
      </c>
      <c r="S6" s="77" t="s">
        <v>17</v>
      </c>
      <c r="T6" s="77" t="s">
        <v>18</v>
      </c>
      <c r="U6" s="77" t="s">
        <v>19</v>
      </c>
      <c r="V6" s="82" t="s">
        <v>20</v>
      </c>
      <c r="W6" s="77" t="s">
        <v>21</v>
      </c>
      <c r="X6" s="10" t="s">
        <v>22</v>
      </c>
    </row>
    <row r="7" spans="1:24">
      <c r="A7" s="24" t="s">
        <v>24</v>
      </c>
      <c r="B7" s="17">
        <v>264</v>
      </c>
      <c r="C7" s="17">
        <f t="shared" ref="C7:C26" si="0">(SUMPRODUCT(E7:I7, E$3:I$3)*0.35)/3.6</f>
        <v>264000</v>
      </c>
      <c r="D7" s="17">
        <v>10000000</v>
      </c>
      <c r="E7" s="17">
        <v>94687.551890186543</v>
      </c>
      <c r="F7" s="17">
        <v>0</v>
      </c>
      <c r="G7" s="17">
        <v>0</v>
      </c>
      <c r="H7" s="17">
        <v>0</v>
      </c>
      <c r="I7" s="25">
        <v>15085.714285714288</v>
      </c>
      <c r="J7">
        <f>SUMPRODUCT(E7:I7, E$3:I$3)</f>
        <v>2715428.5714285718</v>
      </c>
      <c r="K7">
        <f>(SUMPRODUCT(E7:I7, E$3:I$3)*0.35)/3.6</f>
        <v>264000</v>
      </c>
      <c r="L7">
        <f>($I$3*I7*0.35)/3.6</f>
        <v>26400</v>
      </c>
      <c r="M7" s="45">
        <v>36</v>
      </c>
      <c r="N7">
        <f t="shared" ref="N7:N26" si="1">M7*C7</f>
        <v>9504000</v>
      </c>
      <c r="O7">
        <f>45*($I$3*I7*0.35)/3.6</f>
        <v>1188000</v>
      </c>
      <c r="P7">
        <f>SUMPRODUCT(E7:I7, E$3:I$3)*0.35*0.65/3.6</f>
        <v>171600.00000000003</v>
      </c>
      <c r="Q7">
        <f>SUMPRODUCT(E7:I7, E$2:I$2)</f>
        <v>5142775.3513034824</v>
      </c>
      <c r="R7">
        <f>C7*0.8*0.87*15</f>
        <v>2756160</v>
      </c>
      <c r="S7">
        <f>IFERROR(N7+O7-P7-Q7-R7,0)</f>
        <v>2621464.6486965176</v>
      </c>
      <c r="T7">
        <f>I7*$I$3</f>
        <v>271542.85714285716</v>
      </c>
      <c r="U7">
        <f>SUMPRODUCT(E7:I7, E$4:I$4)*0.01</f>
        <v>1308.1967875131456</v>
      </c>
      <c r="V7">
        <f>IFERROR(T7/J7,0)</f>
        <v>9.9999999999999992E-2</v>
      </c>
      <c r="W7">
        <f>0.1*J7</f>
        <v>271542.85714285722</v>
      </c>
      <c r="X7">
        <f>SUMPRODUCT($E$3:$H$3,E7:H7)</f>
        <v>2443885.7142857146</v>
      </c>
    </row>
    <row r="8" spans="1:24">
      <c r="A8" s="26" t="s">
        <v>25</v>
      </c>
      <c r="B8" s="16">
        <v>264</v>
      </c>
      <c r="C8" s="16">
        <f t="shared" si="0"/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27">
        <v>0</v>
      </c>
      <c r="J8">
        <f t="shared" ref="J8:J26" si="2">SUMPRODUCT(E8:I8, E$3:I$3)</f>
        <v>0</v>
      </c>
      <c r="K8">
        <f t="shared" ref="K8:K26" si="3">(SUMPRODUCT(E8:I8, E$3:I$3)*0.35)/3.6</f>
        <v>0</v>
      </c>
      <c r="L8">
        <f t="shared" ref="L8:L26" si="4">($I$3*I8*0.35)/3.6</f>
        <v>0</v>
      </c>
      <c r="M8" s="45">
        <v>27</v>
      </c>
      <c r="N8">
        <f t="shared" si="1"/>
        <v>0</v>
      </c>
      <c r="O8">
        <f t="shared" ref="O8:O26" si="5">45*($I$3*I8*0.35)/3.6</f>
        <v>0</v>
      </c>
      <c r="P8">
        <f t="shared" ref="P8:P26" si="6">SUMPRODUCT(E8:I8, E$3:I$3)*0.35*0.65/3.6</f>
        <v>0</v>
      </c>
      <c r="Q8">
        <f t="shared" ref="Q8:Q26" si="7">SUMPRODUCT(E8:I8, E$2:I$2)</f>
        <v>0</v>
      </c>
      <c r="R8">
        <f t="shared" ref="R8:R26" si="8">C8*0.8*0.87*15</f>
        <v>0</v>
      </c>
      <c r="S8">
        <f t="shared" ref="S8:S26" si="9">IFERROR(N8+O8-P8-Q8-R8,0)</f>
        <v>0</v>
      </c>
      <c r="T8">
        <f t="shared" ref="T8:T26" si="10">I8*$I$3</f>
        <v>0</v>
      </c>
      <c r="U8">
        <f t="shared" ref="U8:U26" si="11">SUMPRODUCT(E8:I8, E$4:I$4)*0.01</f>
        <v>0</v>
      </c>
      <c r="V8">
        <f t="shared" ref="V8:V26" si="12">IFERROR(T8/J8,0)</f>
        <v>0</v>
      </c>
      <c r="W8">
        <f t="shared" ref="W8:W26" si="13">0.1*J8</f>
        <v>0</v>
      </c>
      <c r="X8">
        <f t="shared" ref="X8:X27" si="14">SUMPRODUCT($E$3:$H$3,E8:H8)</f>
        <v>0</v>
      </c>
    </row>
    <row r="9" spans="1:24">
      <c r="A9" s="26" t="s">
        <v>26</v>
      </c>
      <c r="B9" s="16">
        <v>96</v>
      </c>
      <c r="C9" s="16">
        <f t="shared" si="0"/>
        <v>96000.000000000015</v>
      </c>
      <c r="D9" s="16">
        <v>0</v>
      </c>
      <c r="E9" s="16">
        <v>34431.83705097693</v>
      </c>
      <c r="F9" s="16">
        <v>0</v>
      </c>
      <c r="G9" s="16">
        <v>0</v>
      </c>
      <c r="H9" s="16">
        <v>0</v>
      </c>
      <c r="I9" s="27">
        <v>5485.7142857142871</v>
      </c>
      <c r="J9">
        <f t="shared" si="2"/>
        <v>987428.57142857171</v>
      </c>
      <c r="K9">
        <f t="shared" si="3"/>
        <v>96000.000000000015</v>
      </c>
      <c r="L9">
        <f t="shared" si="4"/>
        <v>9600.0000000000018</v>
      </c>
      <c r="M9" s="45">
        <v>33.5</v>
      </c>
      <c r="N9">
        <f t="shared" si="1"/>
        <v>3216000.0000000005</v>
      </c>
      <c r="O9">
        <f t="shared" si="5"/>
        <v>432000.00000000006</v>
      </c>
      <c r="P9">
        <f t="shared" si="6"/>
        <v>62400.000000000015</v>
      </c>
      <c r="Q9">
        <f t="shared" si="7"/>
        <v>1870100.1277467213</v>
      </c>
      <c r="R9">
        <f t="shared" si="8"/>
        <v>1002240.0000000002</v>
      </c>
      <c r="S9">
        <f t="shared" si="9"/>
        <v>713259.87225327897</v>
      </c>
      <c r="T9">
        <f t="shared" si="10"/>
        <v>98742.857142857174</v>
      </c>
      <c r="U9">
        <f t="shared" si="11"/>
        <v>475.70792273205308</v>
      </c>
      <c r="V9">
        <f t="shared" si="12"/>
        <v>0.1</v>
      </c>
      <c r="W9">
        <f t="shared" si="13"/>
        <v>98742.857142857174</v>
      </c>
      <c r="X9">
        <f t="shared" si="14"/>
        <v>888685.71428571455</v>
      </c>
    </row>
    <row r="10" spans="1:24">
      <c r="A10" s="26" t="s">
        <v>27</v>
      </c>
      <c r="B10" s="16">
        <v>96</v>
      </c>
      <c r="C10" s="16">
        <f t="shared" si="0"/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27">
        <v>0</v>
      </c>
      <c r="J10">
        <f t="shared" si="2"/>
        <v>0</v>
      </c>
      <c r="K10">
        <f t="shared" si="3"/>
        <v>0</v>
      </c>
      <c r="L10">
        <f t="shared" si="4"/>
        <v>0</v>
      </c>
      <c r="M10" s="45">
        <v>26.2</v>
      </c>
      <c r="N10">
        <f t="shared" si="1"/>
        <v>0</v>
      </c>
      <c r="O10">
        <f t="shared" si="5"/>
        <v>0</v>
      </c>
      <c r="P10">
        <f t="shared" si="6"/>
        <v>0</v>
      </c>
      <c r="Q10">
        <f t="shared" si="7"/>
        <v>0</v>
      </c>
      <c r="R10">
        <f t="shared" si="8"/>
        <v>0</v>
      </c>
      <c r="S10">
        <f t="shared" si="9"/>
        <v>0</v>
      </c>
      <c r="T10">
        <f t="shared" si="10"/>
        <v>0</v>
      </c>
      <c r="U10">
        <f t="shared" si="11"/>
        <v>0</v>
      </c>
      <c r="V10">
        <f t="shared" si="12"/>
        <v>0</v>
      </c>
      <c r="W10">
        <f t="shared" si="13"/>
        <v>0</v>
      </c>
      <c r="X10">
        <f t="shared" si="14"/>
        <v>0</v>
      </c>
    </row>
    <row r="11" spans="1:24">
      <c r="A11" s="26" t="s">
        <v>28</v>
      </c>
      <c r="B11" s="16">
        <v>264</v>
      </c>
      <c r="C11" s="16">
        <f t="shared" si="0"/>
        <v>264000</v>
      </c>
      <c r="D11" s="16">
        <v>0</v>
      </c>
      <c r="E11" s="16">
        <v>94687.551890186543</v>
      </c>
      <c r="F11" s="16">
        <v>0</v>
      </c>
      <c r="G11" s="16">
        <v>0</v>
      </c>
      <c r="H11" s="16">
        <v>0</v>
      </c>
      <c r="I11" s="27">
        <v>15085.714285714288</v>
      </c>
      <c r="J11">
        <f t="shared" si="2"/>
        <v>2715428.5714285718</v>
      </c>
      <c r="K11">
        <f t="shared" si="3"/>
        <v>264000</v>
      </c>
      <c r="L11">
        <f t="shared" si="4"/>
        <v>26400</v>
      </c>
      <c r="M11" s="46">
        <v>36.35</v>
      </c>
      <c r="N11">
        <f t="shared" si="1"/>
        <v>9596400</v>
      </c>
      <c r="O11">
        <f t="shared" si="5"/>
        <v>1188000</v>
      </c>
      <c r="P11">
        <f t="shared" si="6"/>
        <v>171600.00000000003</v>
      </c>
      <c r="Q11">
        <f t="shared" si="7"/>
        <v>5142775.3513034824</v>
      </c>
      <c r="R11">
        <f t="shared" si="8"/>
        <v>2756160</v>
      </c>
      <c r="S11">
        <f t="shared" si="9"/>
        <v>2713864.6486965176</v>
      </c>
      <c r="T11">
        <f t="shared" si="10"/>
        <v>271542.85714285716</v>
      </c>
      <c r="U11">
        <f t="shared" si="11"/>
        <v>1308.1967875131456</v>
      </c>
      <c r="V11">
        <f t="shared" si="12"/>
        <v>9.9999999999999992E-2</v>
      </c>
      <c r="W11">
        <f t="shared" si="13"/>
        <v>271542.85714285722</v>
      </c>
      <c r="X11">
        <f t="shared" si="14"/>
        <v>2443885.7142857146</v>
      </c>
    </row>
    <row r="12" spans="1:24">
      <c r="A12" s="26" t="s">
        <v>29</v>
      </c>
      <c r="B12" s="16">
        <v>264</v>
      </c>
      <c r="C12" s="16">
        <f t="shared" si="0"/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27">
        <v>0</v>
      </c>
      <c r="J12">
        <f t="shared" si="2"/>
        <v>0</v>
      </c>
      <c r="K12">
        <f t="shared" si="3"/>
        <v>0</v>
      </c>
      <c r="L12">
        <f t="shared" si="4"/>
        <v>0</v>
      </c>
      <c r="M12" s="46">
        <v>27</v>
      </c>
      <c r="N12">
        <f t="shared" si="1"/>
        <v>0</v>
      </c>
      <c r="O12">
        <f t="shared" si="5"/>
        <v>0</v>
      </c>
      <c r="P12">
        <f t="shared" si="6"/>
        <v>0</v>
      </c>
      <c r="Q12">
        <f t="shared" si="7"/>
        <v>0</v>
      </c>
      <c r="R12">
        <f t="shared" si="8"/>
        <v>0</v>
      </c>
      <c r="S12">
        <f t="shared" si="9"/>
        <v>0</v>
      </c>
      <c r="T12">
        <f t="shared" si="10"/>
        <v>0</v>
      </c>
      <c r="U12">
        <f t="shared" si="11"/>
        <v>0</v>
      </c>
      <c r="V12">
        <f t="shared" si="12"/>
        <v>0</v>
      </c>
      <c r="W12">
        <f t="shared" si="13"/>
        <v>0</v>
      </c>
      <c r="X12">
        <f t="shared" si="14"/>
        <v>0</v>
      </c>
    </row>
    <row r="13" spans="1:24">
      <c r="A13" s="26" t="s">
        <v>30</v>
      </c>
      <c r="B13" s="16">
        <v>108</v>
      </c>
      <c r="C13" s="16">
        <f t="shared" si="0"/>
        <v>108000.00000000003</v>
      </c>
      <c r="D13" s="16">
        <v>0</v>
      </c>
      <c r="E13" s="16">
        <v>38735.816682349046</v>
      </c>
      <c r="F13" s="16">
        <v>0</v>
      </c>
      <c r="G13" s="16">
        <v>0</v>
      </c>
      <c r="H13" s="16">
        <v>0</v>
      </c>
      <c r="I13" s="27">
        <v>6171.4285714285734</v>
      </c>
      <c r="J13">
        <f t="shared" si="2"/>
        <v>1110857.1428571432</v>
      </c>
      <c r="K13">
        <f t="shared" si="3"/>
        <v>108000.00000000003</v>
      </c>
      <c r="L13">
        <f t="shared" si="4"/>
        <v>10800.000000000002</v>
      </c>
      <c r="M13" s="46">
        <v>34.299999999999997</v>
      </c>
      <c r="N13">
        <f t="shared" si="1"/>
        <v>3704400.0000000005</v>
      </c>
      <c r="O13">
        <f t="shared" si="5"/>
        <v>486000.00000000006</v>
      </c>
      <c r="P13">
        <f t="shared" si="6"/>
        <v>70200.000000000029</v>
      </c>
      <c r="Q13">
        <f t="shared" si="7"/>
        <v>2103862.6437150612</v>
      </c>
      <c r="R13">
        <f t="shared" si="8"/>
        <v>1127520.0000000005</v>
      </c>
      <c r="S13">
        <f t="shared" si="9"/>
        <v>888817.35628493875</v>
      </c>
      <c r="T13">
        <f t="shared" si="10"/>
        <v>111085.71428571432</v>
      </c>
      <c r="U13">
        <f t="shared" si="11"/>
        <v>535.17141307355962</v>
      </c>
      <c r="V13">
        <f t="shared" si="12"/>
        <v>0.1</v>
      </c>
      <c r="W13">
        <f t="shared" si="13"/>
        <v>111085.71428571432</v>
      </c>
      <c r="X13">
        <f t="shared" si="14"/>
        <v>999771.42857142887</v>
      </c>
    </row>
    <row r="14" spans="1:24">
      <c r="A14" s="26" t="s">
        <v>31</v>
      </c>
      <c r="B14" s="16">
        <v>108</v>
      </c>
      <c r="C14" s="16">
        <f t="shared" si="0"/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27">
        <v>0</v>
      </c>
      <c r="J14">
        <f t="shared" si="2"/>
        <v>0</v>
      </c>
      <c r="K14">
        <f t="shared" si="3"/>
        <v>0</v>
      </c>
      <c r="L14">
        <f t="shared" si="4"/>
        <v>0</v>
      </c>
      <c r="M14" s="46">
        <v>26.3</v>
      </c>
      <c r="N14">
        <f t="shared" si="1"/>
        <v>0</v>
      </c>
      <c r="O14">
        <f t="shared" si="5"/>
        <v>0</v>
      </c>
      <c r="P14">
        <f t="shared" si="6"/>
        <v>0</v>
      </c>
      <c r="Q14">
        <f t="shared" si="7"/>
        <v>0</v>
      </c>
      <c r="R14">
        <f t="shared" si="8"/>
        <v>0</v>
      </c>
      <c r="S14">
        <f t="shared" si="9"/>
        <v>0</v>
      </c>
      <c r="T14">
        <f t="shared" si="10"/>
        <v>0</v>
      </c>
      <c r="U14">
        <f t="shared" si="11"/>
        <v>0</v>
      </c>
      <c r="V14">
        <f t="shared" si="12"/>
        <v>0</v>
      </c>
      <c r="W14">
        <f t="shared" si="13"/>
        <v>0</v>
      </c>
      <c r="X14">
        <f t="shared" si="14"/>
        <v>0</v>
      </c>
    </row>
    <row r="15" spans="1:24">
      <c r="A15" s="26" t="s">
        <v>32</v>
      </c>
      <c r="B15" s="16">
        <v>264</v>
      </c>
      <c r="C15" s="16">
        <f t="shared" si="0"/>
        <v>264000</v>
      </c>
      <c r="D15" s="16">
        <v>0</v>
      </c>
      <c r="E15" s="16">
        <v>94687.551890186543</v>
      </c>
      <c r="F15" s="16">
        <v>0</v>
      </c>
      <c r="G15" s="16">
        <v>0</v>
      </c>
      <c r="H15" s="16">
        <v>0</v>
      </c>
      <c r="I15" s="27">
        <v>15085.714285714288</v>
      </c>
      <c r="J15">
        <f t="shared" si="2"/>
        <v>2715428.5714285718</v>
      </c>
      <c r="K15">
        <f t="shared" si="3"/>
        <v>264000</v>
      </c>
      <c r="L15">
        <f t="shared" si="4"/>
        <v>26400</v>
      </c>
      <c r="M15" s="46">
        <v>37.65</v>
      </c>
      <c r="N15">
        <f t="shared" si="1"/>
        <v>9939600</v>
      </c>
      <c r="O15">
        <f t="shared" si="5"/>
        <v>1188000</v>
      </c>
      <c r="P15">
        <f t="shared" si="6"/>
        <v>171600.00000000003</v>
      </c>
      <c r="Q15">
        <f t="shared" si="7"/>
        <v>5142775.3513034824</v>
      </c>
      <c r="R15">
        <f t="shared" si="8"/>
        <v>2756160</v>
      </c>
      <c r="S15">
        <f t="shared" si="9"/>
        <v>3057064.6486965176</v>
      </c>
      <c r="T15">
        <f t="shared" si="10"/>
        <v>271542.85714285716</v>
      </c>
      <c r="U15">
        <f t="shared" si="11"/>
        <v>1308.1967875131456</v>
      </c>
      <c r="V15">
        <f t="shared" si="12"/>
        <v>9.9999999999999992E-2</v>
      </c>
      <c r="W15">
        <f t="shared" si="13"/>
        <v>271542.85714285722</v>
      </c>
      <c r="X15">
        <f t="shared" si="14"/>
        <v>2443885.7142857146</v>
      </c>
    </row>
    <row r="16" spans="1:24">
      <c r="A16" s="26" t="s">
        <v>33</v>
      </c>
      <c r="B16" s="16">
        <v>264</v>
      </c>
      <c r="C16" s="16">
        <f t="shared" si="0"/>
        <v>264000.00000000012</v>
      </c>
      <c r="D16" s="16">
        <v>0</v>
      </c>
      <c r="E16" s="16">
        <v>94687.551890186573</v>
      </c>
      <c r="F16" s="16">
        <v>0</v>
      </c>
      <c r="G16" s="16">
        <v>0</v>
      </c>
      <c r="H16" s="16">
        <v>0</v>
      </c>
      <c r="I16" s="27">
        <v>15085.714285714292</v>
      </c>
      <c r="J16">
        <f t="shared" si="2"/>
        <v>2715428.5714285728</v>
      </c>
      <c r="K16">
        <f t="shared" si="3"/>
        <v>264000.00000000012</v>
      </c>
      <c r="L16">
        <f t="shared" si="4"/>
        <v>26400.000000000011</v>
      </c>
      <c r="M16" s="46">
        <v>28.2</v>
      </c>
      <c r="N16">
        <f t="shared" si="1"/>
        <v>7444800.0000000028</v>
      </c>
      <c r="O16">
        <f t="shared" si="5"/>
        <v>1188000.0000000005</v>
      </c>
      <c r="P16">
        <f t="shared" si="6"/>
        <v>171600.00000000006</v>
      </c>
      <c r="Q16">
        <f t="shared" si="7"/>
        <v>5142775.3513034843</v>
      </c>
      <c r="R16">
        <f t="shared" si="8"/>
        <v>2756160.0000000014</v>
      </c>
      <c r="S16">
        <f t="shared" si="9"/>
        <v>562264.64869651804</v>
      </c>
      <c r="T16">
        <f t="shared" si="10"/>
        <v>271542.85714285728</v>
      </c>
      <c r="U16">
        <f t="shared" si="11"/>
        <v>1308.1967875131461</v>
      </c>
      <c r="V16">
        <f t="shared" si="12"/>
        <v>0.1</v>
      </c>
      <c r="W16">
        <f t="shared" si="13"/>
        <v>271542.85714285728</v>
      </c>
      <c r="X16">
        <f t="shared" si="14"/>
        <v>2443885.7142857155</v>
      </c>
    </row>
    <row r="17" spans="1:24">
      <c r="A17" s="26" t="s">
        <v>34</v>
      </c>
      <c r="B17" s="16">
        <v>108</v>
      </c>
      <c r="C17" s="16">
        <f t="shared" si="0"/>
        <v>108000.00000000003</v>
      </c>
      <c r="D17" s="16">
        <v>0</v>
      </c>
      <c r="E17" s="16">
        <v>38735.816682349046</v>
      </c>
      <c r="F17" s="16">
        <v>0</v>
      </c>
      <c r="G17" s="16">
        <v>0</v>
      </c>
      <c r="H17" s="16">
        <v>0</v>
      </c>
      <c r="I17" s="27">
        <v>6171.4285714285734</v>
      </c>
      <c r="J17">
        <f t="shared" si="2"/>
        <v>1110857.1428571432</v>
      </c>
      <c r="K17">
        <f t="shared" si="3"/>
        <v>108000.00000000003</v>
      </c>
      <c r="L17">
        <f t="shared" si="4"/>
        <v>10800.000000000002</v>
      </c>
      <c r="M17" s="46">
        <v>35.65</v>
      </c>
      <c r="N17">
        <f t="shared" si="1"/>
        <v>3850200.0000000009</v>
      </c>
      <c r="O17">
        <f t="shared" si="5"/>
        <v>486000.00000000006</v>
      </c>
      <c r="P17">
        <f t="shared" si="6"/>
        <v>70200.000000000029</v>
      </c>
      <c r="Q17">
        <f t="shared" si="7"/>
        <v>2103862.6437150612</v>
      </c>
      <c r="R17">
        <f t="shared" si="8"/>
        <v>1127520.0000000005</v>
      </c>
      <c r="S17">
        <f t="shared" si="9"/>
        <v>1034617.3562849392</v>
      </c>
      <c r="T17">
        <f t="shared" si="10"/>
        <v>111085.71428571432</v>
      </c>
      <c r="U17">
        <f t="shared" si="11"/>
        <v>535.17141307355962</v>
      </c>
      <c r="V17">
        <f t="shared" si="12"/>
        <v>0.1</v>
      </c>
      <c r="W17">
        <f t="shared" si="13"/>
        <v>111085.71428571432</v>
      </c>
      <c r="X17">
        <f t="shared" si="14"/>
        <v>999771.42857142887</v>
      </c>
    </row>
    <row r="18" spans="1:24">
      <c r="A18" s="26" t="s">
        <v>35</v>
      </c>
      <c r="B18" s="16">
        <v>108</v>
      </c>
      <c r="C18" s="16">
        <f t="shared" si="0"/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27">
        <v>0</v>
      </c>
      <c r="J18">
        <f t="shared" si="2"/>
        <v>0</v>
      </c>
      <c r="K18">
        <f t="shared" si="3"/>
        <v>0</v>
      </c>
      <c r="L18">
        <f t="shared" si="4"/>
        <v>0</v>
      </c>
      <c r="M18" s="46">
        <v>27.5</v>
      </c>
      <c r="N18">
        <f t="shared" si="1"/>
        <v>0</v>
      </c>
      <c r="O18">
        <f t="shared" si="5"/>
        <v>0</v>
      </c>
      <c r="P18">
        <f t="shared" si="6"/>
        <v>0</v>
      </c>
      <c r="Q18">
        <f t="shared" si="7"/>
        <v>0</v>
      </c>
      <c r="R18">
        <f t="shared" si="8"/>
        <v>0</v>
      </c>
      <c r="S18">
        <f t="shared" si="9"/>
        <v>0</v>
      </c>
      <c r="T18">
        <f t="shared" si="10"/>
        <v>0</v>
      </c>
      <c r="U18">
        <f t="shared" si="11"/>
        <v>0</v>
      </c>
      <c r="V18">
        <f t="shared" si="12"/>
        <v>0</v>
      </c>
      <c r="W18">
        <f t="shared" si="13"/>
        <v>0</v>
      </c>
      <c r="X18">
        <f t="shared" si="14"/>
        <v>0</v>
      </c>
    </row>
    <row r="19" spans="1:24">
      <c r="A19" s="26" t="s">
        <v>36</v>
      </c>
      <c r="B19" s="16">
        <v>264</v>
      </c>
      <c r="C19" s="16">
        <f t="shared" si="0"/>
        <v>263999.99999999994</v>
      </c>
      <c r="D19" s="16">
        <v>0</v>
      </c>
      <c r="E19" s="16">
        <v>0</v>
      </c>
      <c r="F19" s="16">
        <v>0</v>
      </c>
      <c r="G19" s="16">
        <v>67627.445027239359</v>
      </c>
      <c r="H19" s="16">
        <v>30038.675996883569</v>
      </c>
      <c r="I19" s="27">
        <v>15085.714285714288</v>
      </c>
      <c r="J19">
        <f t="shared" si="2"/>
        <v>2715428.5714285709</v>
      </c>
      <c r="K19">
        <f t="shared" si="3"/>
        <v>263999.99999999994</v>
      </c>
      <c r="L19">
        <f t="shared" si="4"/>
        <v>26400</v>
      </c>
      <c r="M19" s="46">
        <v>38.35</v>
      </c>
      <c r="N19">
        <f t="shared" si="1"/>
        <v>10124399.999999998</v>
      </c>
      <c r="O19">
        <f t="shared" si="5"/>
        <v>1188000</v>
      </c>
      <c r="P19">
        <f t="shared" si="6"/>
        <v>171599.99999999997</v>
      </c>
      <c r="Q19">
        <f t="shared" si="7"/>
        <v>5336579.6269193366</v>
      </c>
      <c r="R19">
        <f t="shared" si="8"/>
        <v>2756159.9999999995</v>
      </c>
      <c r="S19">
        <f t="shared" si="9"/>
        <v>3048060.373080662</v>
      </c>
      <c r="T19">
        <f t="shared" si="10"/>
        <v>271542.85714285716</v>
      </c>
      <c r="U19">
        <f t="shared" si="11"/>
        <v>754.86985617030666</v>
      </c>
      <c r="V19">
        <f t="shared" si="12"/>
        <v>0.10000000000000002</v>
      </c>
      <c r="W19">
        <f t="shared" si="13"/>
        <v>271542.8571428571</v>
      </c>
      <c r="X19">
        <f t="shared" si="14"/>
        <v>2443885.7142857136</v>
      </c>
    </row>
    <row r="20" spans="1:24">
      <c r="A20" s="26" t="s">
        <v>37</v>
      </c>
      <c r="B20" s="16">
        <v>264</v>
      </c>
      <c r="C20" s="16">
        <f t="shared" si="0"/>
        <v>263999.99999999994</v>
      </c>
      <c r="D20" s="16">
        <v>0</v>
      </c>
      <c r="E20" s="16">
        <v>0</v>
      </c>
      <c r="F20" s="16">
        <v>0</v>
      </c>
      <c r="G20" s="16">
        <v>99750.437317784235</v>
      </c>
      <c r="H20" s="16">
        <v>0</v>
      </c>
      <c r="I20" s="27">
        <v>15085.714285714288</v>
      </c>
      <c r="J20">
        <f t="shared" si="2"/>
        <v>2715428.5714285709</v>
      </c>
      <c r="K20">
        <f t="shared" si="3"/>
        <v>263999.99999999994</v>
      </c>
      <c r="L20">
        <f t="shared" si="4"/>
        <v>26400</v>
      </c>
      <c r="M20" s="46">
        <v>28.5</v>
      </c>
      <c r="N20">
        <f t="shared" si="1"/>
        <v>7523999.9999999981</v>
      </c>
      <c r="O20">
        <f t="shared" si="5"/>
        <v>1188000</v>
      </c>
      <c r="P20">
        <f t="shared" si="6"/>
        <v>171599.99999999997</v>
      </c>
      <c r="Q20">
        <f t="shared" si="7"/>
        <v>5481942.2973760916</v>
      </c>
      <c r="R20">
        <f t="shared" si="8"/>
        <v>2756159.9999999995</v>
      </c>
      <c r="S20">
        <f t="shared" si="9"/>
        <v>302297.70262390701</v>
      </c>
      <c r="T20">
        <f t="shared" si="10"/>
        <v>271542.85714285716</v>
      </c>
      <c r="U20">
        <f t="shared" si="11"/>
        <v>350.63510204081626</v>
      </c>
      <c r="V20">
        <f t="shared" si="12"/>
        <v>0.10000000000000002</v>
      </c>
      <c r="W20">
        <f t="shared" si="13"/>
        <v>271542.8571428571</v>
      </c>
      <c r="X20">
        <f>SUMPRODUCT($E$3:$H$3,E20:H20)</f>
        <v>2443885.7142857136</v>
      </c>
    </row>
    <row r="21" spans="1:24">
      <c r="A21" s="26" t="s">
        <v>38</v>
      </c>
      <c r="B21" s="16">
        <v>96</v>
      </c>
      <c r="C21" s="16">
        <f t="shared" si="0"/>
        <v>95999.999999999985</v>
      </c>
      <c r="D21" s="16">
        <v>0</v>
      </c>
      <c r="E21" s="16">
        <v>0</v>
      </c>
      <c r="F21" s="16">
        <v>0</v>
      </c>
      <c r="G21" s="16">
        <v>36272.886297376084</v>
      </c>
      <c r="H21" s="16">
        <v>0</v>
      </c>
      <c r="I21" s="27">
        <v>5485.7142857142862</v>
      </c>
      <c r="J21">
        <f t="shared" si="2"/>
        <v>987428.57142857125</v>
      </c>
      <c r="K21">
        <f t="shared" si="3"/>
        <v>95999.999999999985</v>
      </c>
      <c r="L21">
        <f t="shared" si="4"/>
        <v>9600</v>
      </c>
      <c r="M21" s="46">
        <v>35.799999999999997</v>
      </c>
      <c r="N21">
        <f t="shared" si="1"/>
        <v>3436799.9999999991</v>
      </c>
      <c r="O21">
        <f t="shared" si="5"/>
        <v>432000</v>
      </c>
      <c r="P21">
        <f t="shared" si="6"/>
        <v>62399.999999999993</v>
      </c>
      <c r="Q21">
        <f t="shared" si="7"/>
        <v>1993433.5626822154</v>
      </c>
      <c r="R21">
        <f t="shared" si="8"/>
        <v>1002239.9999999998</v>
      </c>
      <c r="S21">
        <f t="shared" si="9"/>
        <v>810726.43731778394</v>
      </c>
      <c r="T21">
        <f t="shared" si="10"/>
        <v>98742.857142857159</v>
      </c>
      <c r="U21">
        <f t="shared" si="11"/>
        <v>127.50367346938772</v>
      </c>
      <c r="V21">
        <f t="shared" si="12"/>
        <v>0.10000000000000003</v>
      </c>
      <c r="W21">
        <f t="shared" si="13"/>
        <v>98742.85714285713</v>
      </c>
      <c r="X21">
        <f t="shared" si="14"/>
        <v>888685.71428571409</v>
      </c>
    </row>
    <row r="22" spans="1:24">
      <c r="A22" s="26" t="s">
        <v>39</v>
      </c>
      <c r="B22" s="16">
        <v>96</v>
      </c>
      <c r="C22" s="16">
        <f t="shared" si="0"/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27">
        <v>0</v>
      </c>
      <c r="J22">
        <f t="shared" si="2"/>
        <v>0</v>
      </c>
      <c r="K22">
        <f t="shared" si="3"/>
        <v>0</v>
      </c>
      <c r="L22">
        <f t="shared" si="4"/>
        <v>0</v>
      </c>
      <c r="M22" s="46">
        <v>27.65</v>
      </c>
      <c r="N22">
        <f t="shared" si="1"/>
        <v>0</v>
      </c>
      <c r="O22">
        <f t="shared" si="5"/>
        <v>0</v>
      </c>
      <c r="P22">
        <f t="shared" si="6"/>
        <v>0</v>
      </c>
      <c r="Q22">
        <f t="shared" si="7"/>
        <v>0</v>
      </c>
      <c r="R22">
        <f t="shared" si="8"/>
        <v>0</v>
      </c>
      <c r="S22">
        <f t="shared" si="9"/>
        <v>0</v>
      </c>
      <c r="T22">
        <f t="shared" si="10"/>
        <v>0</v>
      </c>
      <c r="U22">
        <f t="shared" si="11"/>
        <v>0</v>
      </c>
      <c r="V22">
        <f t="shared" si="12"/>
        <v>0</v>
      </c>
      <c r="W22">
        <f t="shared" si="13"/>
        <v>0</v>
      </c>
      <c r="X22">
        <f t="shared" si="14"/>
        <v>0</v>
      </c>
    </row>
    <row r="23" spans="1:24">
      <c r="A23" s="26" t="s">
        <v>40</v>
      </c>
      <c r="B23" s="16">
        <v>252</v>
      </c>
      <c r="C23" s="16">
        <f t="shared" si="0"/>
        <v>251999.99999999988</v>
      </c>
      <c r="D23" s="16">
        <v>0</v>
      </c>
      <c r="E23" s="16">
        <v>0</v>
      </c>
      <c r="F23" s="16">
        <v>0</v>
      </c>
      <c r="G23" s="16">
        <v>95216.326530612205</v>
      </c>
      <c r="H23" s="16">
        <v>0</v>
      </c>
      <c r="I23" s="27">
        <v>14400</v>
      </c>
      <c r="J23">
        <f t="shared" si="2"/>
        <v>2591999.9999999991</v>
      </c>
      <c r="K23">
        <f t="shared" si="3"/>
        <v>251999.99999999988</v>
      </c>
      <c r="L23">
        <f t="shared" si="4"/>
        <v>25200</v>
      </c>
      <c r="M23" s="46">
        <v>43.7</v>
      </c>
      <c r="N23">
        <f t="shared" si="1"/>
        <v>11012399.999999996</v>
      </c>
      <c r="O23">
        <f t="shared" si="5"/>
        <v>1134000</v>
      </c>
      <c r="P23">
        <f t="shared" si="6"/>
        <v>163799.99999999994</v>
      </c>
      <c r="Q23">
        <f t="shared" si="7"/>
        <v>5232763.1020408142</v>
      </c>
      <c r="R23">
        <f t="shared" si="8"/>
        <v>2630879.9999999986</v>
      </c>
      <c r="S23">
        <f t="shared" si="9"/>
        <v>4118956.8979591834</v>
      </c>
      <c r="T23">
        <f t="shared" si="10"/>
        <v>259200</v>
      </c>
      <c r="U23">
        <f t="shared" si="11"/>
        <v>334.69714285714269</v>
      </c>
      <c r="V23">
        <f t="shared" si="12"/>
        <v>0.10000000000000003</v>
      </c>
      <c r="W23">
        <f t="shared" si="13"/>
        <v>259199.99999999991</v>
      </c>
      <c r="X23">
        <f t="shared" si="14"/>
        <v>2332799.9999999991</v>
      </c>
    </row>
    <row r="24" spans="1:24">
      <c r="A24" s="26" t="s">
        <v>41</v>
      </c>
      <c r="B24" s="16">
        <v>252</v>
      </c>
      <c r="C24" s="16">
        <f t="shared" si="0"/>
        <v>251999.99999999988</v>
      </c>
      <c r="D24" s="16">
        <v>0</v>
      </c>
      <c r="E24" s="16">
        <v>0</v>
      </c>
      <c r="F24" s="16">
        <v>0</v>
      </c>
      <c r="G24" s="16">
        <v>95216.326530612205</v>
      </c>
      <c r="H24" s="16">
        <v>0</v>
      </c>
      <c r="I24" s="27">
        <v>14400.000000000005</v>
      </c>
      <c r="J24">
        <f t="shared" si="2"/>
        <v>2591999.9999999991</v>
      </c>
      <c r="K24">
        <f t="shared" si="3"/>
        <v>251999.99999999988</v>
      </c>
      <c r="L24">
        <f t="shared" si="4"/>
        <v>25200.000000000007</v>
      </c>
      <c r="M24" s="46">
        <v>31.7</v>
      </c>
      <c r="N24">
        <f t="shared" si="1"/>
        <v>7988399.9999999963</v>
      </c>
      <c r="O24">
        <f t="shared" si="5"/>
        <v>1134000.0000000005</v>
      </c>
      <c r="P24">
        <f t="shared" si="6"/>
        <v>163799.99999999994</v>
      </c>
      <c r="Q24">
        <f t="shared" si="7"/>
        <v>5232763.1020408142</v>
      </c>
      <c r="R24">
        <f t="shared" si="8"/>
        <v>2630879.9999999986</v>
      </c>
      <c r="S24">
        <f t="shared" si="9"/>
        <v>1094956.8979591834</v>
      </c>
      <c r="T24">
        <f t="shared" si="10"/>
        <v>259200.00000000009</v>
      </c>
      <c r="U24">
        <f t="shared" si="11"/>
        <v>334.69714285714269</v>
      </c>
      <c r="V24">
        <f t="shared" si="12"/>
        <v>0.10000000000000007</v>
      </c>
      <c r="W24">
        <f t="shared" si="13"/>
        <v>259199.99999999991</v>
      </c>
      <c r="X24">
        <f t="shared" si="14"/>
        <v>2332799.9999999991</v>
      </c>
    </row>
    <row r="25" spans="1:24">
      <c r="A25" s="26" t="s">
        <v>42</v>
      </c>
      <c r="B25" s="16">
        <v>120</v>
      </c>
      <c r="C25" s="16">
        <f t="shared" si="0"/>
        <v>119999.99999999994</v>
      </c>
      <c r="D25" s="16">
        <v>0</v>
      </c>
      <c r="E25" s="16">
        <v>0</v>
      </c>
      <c r="F25" s="16">
        <v>0</v>
      </c>
      <c r="G25" s="16">
        <v>45341.107871720102</v>
      </c>
      <c r="H25" s="16">
        <v>0</v>
      </c>
      <c r="I25" s="27">
        <v>6857.1428571428569</v>
      </c>
      <c r="J25">
        <f t="shared" si="2"/>
        <v>1234285.7142857139</v>
      </c>
      <c r="K25">
        <f t="shared" si="3"/>
        <v>119999.99999999994</v>
      </c>
      <c r="L25">
        <f t="shared" si="4"/>
        <v>11999.999999999998</v>
      </c>
      <c r="M25" s="46">
        <v>38.700000000000003</v>
      </c>
      <c r="N25">
        <f t="shared" si="1"/>
        <v>4643999.9999999981</v>
      </c>
      <c r="O25">
        <f t="shared" si="5"/>
        <v>539999.99999999988</v>
      </c>
      <c r="P25">
        <f t="shared" si="6"/>
        <v>77999.999999999971</v>
      </c>
      <c r="Q25">
        <f t="shared" si="7"/>
        <v>2491791.9533527689</v>
      </c>
      <c r="R25">
        <f t="shared" si="8"/>
        <v>1252799.9999999993</v>
      </c>
      <c r="S25">
        <f t="shared" si="9"/>
        <v>1361408.0466472299</v>
      </c>
      <c r="T25">
        <f t="shared" si="10"/>
        <v>123428.57142857142</v>
      </c>
      <c r="U25">
        <f t="shared" si="11"/>
        <v>159.37959183673465</v>
      </c>
      <c r="V25">
        <f t="shared" si="12"/>
        <v>0.10000000000000003</v>
      </c>
      <c r="W25">
        <f t="shared" si="13"/>
        <v>123428.57142857139</v>
      </c>
      <c r="X25">
        <f t="shared" si="14"/>
        <v>1110857.1428571425</v>
      </c>
    </row>
    <row r="26" spans="1:24" ht="15.95" thickBot="1">
      <c r="A26" s="73" t="s">
        <v>43</v>
      </c>
      <c r="B26" s="74">
        <v>120</v>
      </c>
      <c r="C26" s="74">
        <f t="shared" si="0"/>
        <v>119999.99999999997</v>
      </c>
      <c r="D26" s="74">
        <v>0</v>
      </c>
      <c r="E26" s="74">
        <v>0</v>
      </c>
      <c r="F26" s="74">
        <v>0</v>
      </c>
      <c r="G26" s="74">
        <v>45341.107871720109</v>
      </c>
      <c r="H26" s="74">
        <v>0</v>
      </c>
      <c r="I26" s="91">
        <v>6857.1428571428587</v>
      </c>
      <c r="J26">
        <f t="shared" si="2"/>
        <v>1234285.7142857141</v>
      </c>
      <c r="K26">
        <f t="shared" si="3"/>
        <v>119999.99999999997</v>
      </c>
      <c r="L26">
        <f t="shared" si="4"/>
        <v>12000.000000000002</v>
      </c>
      <c r="M26" s="46">
        <v>30.1</v>
      </c>
      <c r="N26">
        <f t="shared" si="1"/>
        <v>3611999.9999999991</v>
      </c>
      <c r="O26">
        <f t="shared" si="5"/>
        <v>540000</v>
      </c>
      <c r="P26">
        <f t="shared" si="6"/>
        <v>77999.999999999985</v>
      </c>
      <c r="Q26">
        <f t="shared" si="7"/>
        <v>2491791.9533527694</v>
      </c>
      <c r="R26">
        <f t="shared" si="8"/>
        <v>1252799.9999999998</v>
      </c>
      <c r="S26">
        <f t="shared" si="9"/>
        <v>329408.04664722993</v>
      </c>
      <c r="T26">
        <f t="shared" si="10"/>
        <v>123428.57142857145</v>
      </c>
      <c r="U26">
        <f t="shared" si="11"/>
        <v>159.37959183673468</v>
      </c>
      <c r="V26">
        <f t="shared" si="12"/>
        <v>0.10000000000000003</v>
      </c>
      <c r="W26">
        <f t="shared" si="13"/>
        <v>123428.57142857142</v>
      </c>
      <c r="X26">
        <f t="shared" si="14"/>
        <v>1110857.1428571427</v>
      </c>
    </row>
    <row r="27" spans="1:24" ht="15.95" thickBot="1">
      <c r="A27" s="21" t="s">
        <v>44</v>
      </c>
      <c r="B27" s="22"/>
      <c r="C27" s="22">
        <f>SUM(C7:C26)</f>
        <v>2736000</v>
      </c>
      <c r="D27" s="22"/>
      <c r="E27" s="22">
        <f>SUM(E7:E26)</f>
        <v>490653.6779764212</v>
      </c>
      <c r="F27" s="22">
        <f t="shared" ref="F27:I27" si="15">SUM(F7:F26)</f>
        <v>0</v>
      </c>
      <c r="G27" s="22">
        <f t="shared" si="15"/>
        <v>484765.63744706428</v>
      </c>
      <c r="H27" s="22">
        <f t="shared" si="15"/>
        <v>30038.675996883569</v>
      </c>
      <c r="I27" s="23">
        <f t="shared" si="15"/>
        <v>156342.85714285722</v>
      </c>
      <c r="K27">
        <f>SUM(K7:K26)</f>
        <v>2736000</v>
      </c>
      <c r="N27">
        <f>SUM(N7:O26)</f>
        <v>107909400</v>
      </c>
      <c r="P27">
        <f>SUM(P7:P26)</f>
        <v>1778400.0000000002</v>
      </c>
      <c r="Q27">
        <f>SUM(Q7:Q26)</f>
        <v>54909992.418155588</v>
      </c>
      <c r="R27">
        <f>SUM(R7:R26)</f>
        <v>28563840</v>
      </c>
      <c r="T27">
        <f>SUM(T7:T26)</f>
        <v>2814171.4285714291</v>
      </c>
      <c r="W27">
        <f>SUM(W7:W26)</f>
        <v>2814171.4285714286</v>
      </c>
      <c r="X27">
        <f t="shared" si="14"/>
        <v>25327542.857142854</v>
      </c>
    </row>
    <row r="28" spans="1:24" ht="15.95" thickBot="1">
      <c r="A28" t="s">
        <v>691</v>
      </c>
      <c r="B28">
        <f>SUM(S7:S26)</f>
        <v>22657167.581844404</v>
      </c>
      <c r="C28" t="s">
        <v>692</v>
      </c>
      <c r="L28" s="67" t="s">
        <v>693</v>
      </c>
      <c r="M28" s="67"/>
      <c r="N28" s="67"/>
      <c r="O28" s="67"/>
      <c r="P28" s="67"/>
    </row>
    <row r="29" spans="1:24" ht="15.95" thickBot="1">
      <c r="A29" t="s">
        <v>694</v>
      </c>
      <c r="B29">
        <f>SUM(U7:U26)</f>
        <v>9000.00000000002</v>
      </c>
      <c r="C29" t="s">
        <v>695</v>
      </c>
      <c r="D29" s="13">
        <f>9000</f>
        <v>9000</v>
      </c>
      <c r="F29" s="19" t="s">
        <v>3</v>
      </c>
      <c r="G29" s="19" t="s">
        <v>4</v>
      </c>
      <c r="H29" s="19" t="s">
        <v>5</v>
      </c>
      <c r="I29" s="19" t="s">
        <v>6</v>
      </c>
      <c r="J29" s="20" t="s">
        <v>7</v>
      </c>
      <c r="L29" t="s">
        <v>3</v>
      </c>
      <c r="M29" t="s">
        <v>4</v>
      </c>
      <c r="N29" t="s">
        <v>5</v>
      </c>
      <c r="O29" t="s">
        <v>6</v>
      </c>
      <c r="P29" t="s">
        <v>7</v>
      </c>
      <c r="Q29" t="s">
        <v>696</v>
      </c>
    </row>
    <row r="30" spans="1:24">
      <c r="A30" t="s">
        <v>697</v>
      </c>
      <c r="B30">
        <f>SUM(F7:H18)</f>
        <v>0</v>
      </c>
      <c r="C30" s="6" t="s">
        <v>698</v>
      </c>
      <c r="D30" s="13">
        <v>0</v>
      </c>
      <c r="E30" s="24" t="s">
        <v>24</v>
      </c>
      <c r="F30" s="92">
        <f>E7*($E$3*0.35/3.6*(M7-0.65-0.8*0.87*15)-$E$2)</f>
        <v>1888713.7915536608</v>
      </c>
      <c r="G30" s="92">
        <f>F7*($E$3*0.35/3.6*(N7-0.65-0.8*0.87*30)-$E$2)</f>
        <v>0</v>
      </c>
      <c r="H30" s="85">
        <f>G7*($G$3*0.35/3.6*(M7-0.65-0.8*0.87*15)-$G$2)</f>
        <v>0</v>
      </c>
      <c r="I30" s="85">
        <f>H7*($H$3*0.35/3.6*(M7-0.65-0.8*0.87*15)-$H$2)</f>
        <v>0</v>
      </c>
      <c r="J30" s="86">
        <f>I7*($I$3*(0.35/3.6)*(M7+45-0.65-0.8*0.87*15)-$I$2)</f>
        <v>732750.85714285693</v>
      </c>
      <c r="K30">
        <f>SUM(F30:J30)</f>
        <v>2621464.6486965176</v>
      </c>
      <c r="L30">
        <v>1445.4203904991941</v>
      </c>
      <c r="M30">
        <v>2415.1079365079377</v>
      </c>
      <c r="N30">
        <v>4438.3531746031758</v>
      </c>
      <c r="O30">
        <v>1247.168927648579</v>
      </c>
      <c r="P30">
        <v>485724.99999999988</v>
      </c>
      <c r="Q30" s="9">
        <v>36</v>
      </c>
    </row>
    <row r="31" spans="1:24">
      <c r="A31" t="s">
        <v>699</v>
      </c>
      <c r="B31">
        <f>SUM(E7:E26)</f>
        <v>490653.6779764212</v>
      </c>
      <c r="C31" t="s">
        <v>695</v>
      </c>
      <c r="D31" s="13">
        <v>600000</v>
      </c>
      <c r="E31" s="26" t="s">
        <v>25</v>
      </c>
      <c r="F31" s="92">
        <f t="shared" ref="F31:F49" si="16">E8*($E$3*0.35/3.6*(M8-0.65-0.8*0.87*15)-$E$2)</f>
        <v>0</v>
      </c>
      <c r="G31" s="92">
        <f t="shared" ref="G31:G49" si="17">F8*($E$3*0.35/3.6*(N8-0.65-0.8*0.87*30)-$E$2)</f>
        <v>0</v>
      </c>
      <c r="H31" s="85">
        <f t="shared" ref="H31:H49" si="18">G8*($G$3*0.35/3.6*(M8-0.65-0.8*0.87*15)-$G$2)</f>
        <v>0</v>
      </c>
      <c r="I31" s="85">
        <f t="shared" ref="I31:I49" si="19">H8*($H$3*0.35/3.6*(M8-0.65-0.8*0.87*15)-$H$2)</f>
        <v>0</v>
      </c>
      <c r="J31" s="86">
        <f t="shared" ref="J31:J49" si="20">I8*($I$3*(0.35/3.6)*(M8+45-0.65-0.8*0.87*15)-$I$2)</f>
        <v>0</v>
      </c>
      <c r="K31">
        <f t="shared" ref="K31:K49" si="21">SUM(F31:J31)</f>
        <v>0</v>
      </c>
      <c r="L31">
        <v>-191.08323268921143</v>
      </c>
      <c r="M31">
        <v>-724.89206349206279</v>
      </c>
      <c r="N31">
        <v>-1686.6468253968253</v>
      </c>
      <c r="O31">
        <v>-85.679909560723331</v>
      </c>
      <c r="P31">
        <v>328224.99999999988</v>
      </c>
      <c r="Q31" s="9">
        <v>27</v>
      </c>
    </row>
    <row r="32" spans="1:24">
      <c r="A32" t="s">
        <v>700</v>
      </c>
      <c r="B32">
        <f t="shared" ref="B32:B51" si="22">C7</f>
        <v>264000</v>
      </c>
      <c r="C32" t="s">
        <v>695</v>
      </c>
      <c r="D32" s="13">
        <f t="shared" ref="D32:D51" si="23">B7*1000</f>
        <v>264000</v>
      </c>
      <c r="E32" s="26" t="s">
        <v>26</v>
      </c>
      <c r="F32" s="92">
        <f t="shared" si="16"/>
        <v>470805.01511042204</v>
      </c>
      <c r="G32" s="92">
        <f t="shared" si="17"/>
        <v>0</v>
      </c>
      <c r="H32" s="85">
        <f t="shared" si="18"/>
        <v>0</v>
      </c>
      <c r="I32" s="85">
        <f t="shared" si="19"/>
        <v>0</v>
      </c>
      <c r="J32" s="86">
        <f t="shared" si="20"/>
        <v>242454.85714285707</v>
      </c>
      <c r="K32">
        <f t="shared" si="21"/>
        <v>713259.87225327909</v>
      </c>
      <c r="L32">
        <v>990.83605072463706</v>
      </c>
      <c r="M32">
        <v>1542.8857142857155</v>
      </c>
      <c r="N32">
        <v>2736.9642857142871</v>
      </c>
      <c r="O32">
        <v>876.93313953488405</v>
      </c>
      <c r="P32">
        <v>441974.99999999988</v>
      </c>
      <c r="Q32" s="9">
        <v>33.5</v>
      </c>
      <c r="S32" t="s">
        <v>701</v>
      </c>
      <c r="T32" t="s">
        <v>702</v>
      </c>
      <c r="U32" t="s">
        <v>703</v>
      </c>
      <c r="V32" t="s">
        <v>704</v>
      </c>
      <c r="W32" t="s">
        <v>705</v>
      </c>
      <c r="X32" t="s">
        <v>706</v>
      </c>
    </row>
    <row r="33" spans="2:34">
      <c r="B33">
        <f t="shared" si="22"/>
        <v>0</v>
      </c>
      <c r="C33" t="s">
        <v>695</v>
      </c>
      <c r="D33" s="13">
        <f t="shared" si="23"/>
        <v>264000</v>
      </c>
      <c r="E33" s="26" t="s">
        <v>27</v>
      </c>
      <c r="F33" s="92">
        <f t="shared" si="16"/>
        <v>0</v>
      </c>
      <c r="G33" s="92">
        <f t="shared" si="17"/>
        <v>0</v>
      </c>
      <c r="H33" s="85">
        <f t="shared" si="18"/>
        <v>0</v>
      </c>
      <c r="I33" s="85">
        <f t="shared" si="19"/>
        <v>0</v>
      </c>
      <c r="J33" s="86">
        <f t="shared" si="20"/>
        <v>0</v>
      </c>
      <c r="K33">
        <f t="shared" si="21"/>
        <v>0</v>
      </c>
      <c r="L33">
        <v>-336.55022141706985</v>
      </c>
      <c r="M33">
        <v>-1004.0031746031741</v>
      </c>
      <c r="N33">
        <v>-2231.0912698412703</v>
      </c>
      <c r="O33">
        <v>-204.15536175710585</v>
      </c>
      <c r="P33">
        <v>314224.99999999994</v>
      </c>
      <c r="Q33" s="9">
        <v>26.2</v>
      </c>
      <c r="R33" s="16" t="s">
        <v>50</v>
      </c>
      <c r="S33">
        <v>1870.2898550724638</v>
      </c>
      <c r="T33">
        <v>181.83373590982285</v>
      </c>
      <c r="U33">
        <v>2.5093055555555552</v>
      </c>
      <c r="V33">
        <v>16.960867880666413</v>
      </c>
      <c r="W33" s="9">
        <v>10.44</v>
      </c>
      <c r="X33">
        <f>1/T33</f>
        <v>5.499529528975481E-3</v>
      </c>
    </row>
    <row r="34" spans="2:34">
      <c r="B34">
        <f t="shared" si="22"/>
        <v>96000.000000000015</v>
      </c>
      <c r="C34" t="s">
        <v>695</v>
      </c>
      <c r="D34" s="13">
        <f t="shared" si="23"/>
        <v>96000</v>
      </c>
      <c r="E34" s="26" t="s">
        <v>28</v>
      </c>
      <c r="F34" s="92">
        <f t="shared" si="16"/>
        <v>1971873.7915536608</v>
      </c>
      <c r="G34" s="92">
        <f t="shared" si="17"/>
        <v>0</v>
      </c>
      <c r="H34" s="85">
        <f t="shared" si="18"/>
        <v>0</v>
      </c>
      <c r="I34" s="85">
        <f t="shared" si="19"/>
        <v>0</v>
      </c>
      <c r="J34" s="86">
        <f t="shared" si="20"/>
        <v>741990.85714285681</v>
      </c>
      <c r="K34">
        <f t="shared" si="21"/>
        <v>2713864.6486965176</v>
      </c>
      <c r="L34">
        <v>1509.0621980676324</v>
      </c>
      <c r="M34">
        <v>2537.219047619049</v>
      </c>
      <c r="N34">
        <v>4676.5476190476211</v>
      </c>
      <c r="O34">
        <v>1299.0019379844966</v>
      </c>
      <c r="P34">
        <v>491849.99999999977</v>
      </c>
      <c r="Q34" s="9">
        <v>36.35</v>
      </c>
      <c r="R34" s="16" t="s">
        <v>51</v>
      </c>
      <c r="S34">
        <v>3588.5714285714289</v>
      </c>
      <c r="T34">
        <v>348.88888888888886</v>
      </c>
      <c r="U34">
        <v>2.4422222222222221</v>
      </c>
      <c r="V34">
        <v>17.987716105550501</v>
      </c>
      <c r="W34" s="9">
        <v>10.44</v>
      </c>
      <c r="X34">
        <f t="shared" ref="X34:X37" si="24">1/T34</f>
        <v>2.8662420382165607E-3</v>
      </c>
    </row>
    <row r="35" spans="2:34">
      <c r="B35">
        <f t="shared" si="22"/>
        <v>0</v>
      </c>
      <c r="C35" t="s">
        <v>695</v>
      </c>
      <c r="D35" s="13">
        <f t="shared" si="23"/>
        <v>96000</v>
      </c>
      <c r="E35" s="26" t="s">
        <v>29</v>
      </c>
      <c r="F35" s="92">
        <f t="shared" si="16"/>
        <v>0</v>
      </c>
      <c r="G35" s="92">
        <f t="shared" si="17"/>
        <v>0</v>
      </c>
      <c r="H35" s="85">
        <f t="shared" si="18"/>
        <v>0</v>
      </c>
      <c r="I35" s="85">
        <f t="shared" si="19"/>
        <v>0</v>
      </c>
      <c r="J35" s="86">
        <f t="shared" si="20"/>
        <v>0</v>
      </c>
      <c r="K35">
        <f t="shared" si="21"/>
        <v>0</v>
      </c>
      <c r="L35">
        <v>-191.08323268921143</v>
      </c>
      <c r="M35">
        <v>-724.89206349206279</v>
      </c>
      <c r="N35">
        <v>-1686.6468253968253</v>
      </c>
      <c r="O35">
        <v>-85.679909560723331</v>
      </c>
      <c r="P35">
        <v>328224.99999999988</v>
      </c>
      <c r="Q35" s="9">
        <v>27</v>
      </c>
      <c r="R35" s="16" t="s">
        <v>52</v>
      </c>
      <c r="S35">
        <v>7000.0000000000009</v>
      </c>
      <c r="T35">
        <v>680.55555555555554</v>
      </c>
      <c r="U35">
        <v>2.3819444444444442</v>
      </c>
      <c r="V35">
        <v>18.388338192419827</v>
      </c>
      <c r="W35" s="9">
        <v>10.44</v>
      </c>
      <c r="X35">
        <f t="shared" si="24"/>
        <v>1.4693877551020407E-3</v>
      </c>
    </row>
    <row r="36" spans="2:34">
      <c r="B36">
        <f t="shared" si="22"/>
        <v>264000</v>
      </c>
      <c r="C36" t="s">
        <v>695</v>
      </c>
      <c r="D36" s="13">
        <f t="shared" si="23"/>
        <v>264000</v>
      </c>
      <c r="E36" s="26" t="s">
        <v>30</v>
      </c>
      <c r="F36" s="92">
        <f t="shared" si="16"/>
        <v>607415.64199922455</v>
      </c>
      <c r="G36" s="92">
        <f t="shared" si="17"/>
        <v>0</v>
      </c>
      <c r="H36" s="85">
        <f t="shared" si="18"/>
        <v>0</v>
      </c>
      <c r="I36" s="85">
        <f t="shared" si="19"/>
        <v>0</v>
      </c>
      <c r="J36" s="86">
        <f t="shared" si="20"/>
        <v>281401.71428571426</v>
      </c>
      <c r="K36">
        <f t="shared" si="21"/>
        <v>888817.35628493875</v>
      </c>
      <c r="L36">
        <v>1136.3030394524949</v>
      </c>
      <c r="M36">
        <v>1821.9968253968254</v>
      </c>
      <c r="N36">
        <v>3281.4087301587297</v>
      </c>
      <c r="O36">
        <v>995.40859173126603</v>
      </c>
      <c r="P36">
        <v>455974.99999999983</v>
      </c>
      <c r="Q36" s="9">
        <v>34.299999999999997</v>
      </c>
      <c r="R36" s="16" t="s">
        <v>53</v>
      </c>
      <c r="S36">
        <v>1523.2558139534883</v>
      </c>
      <c r="T36">
        <v>148.09431524547801</v>
      </c>
      <c r="U36">
        <v>2.5472222222222221</v>
      </c>
      <c r="V36">
        <v>16.488549618320612</v>
      </c>
      <c r="W36" s="9">
        <v>10.44</v>
      </c>
      <c r="X36">
        <f t="shared" si="24"/>
        <v>6.7524536532170129E-3</v>
      </c>
    </row>
    <row r="37" spans="2:34">
      <c r="B37">
        <f t="shared" si="22"/>
        <v>0</v>
      </c>
      <c r="C37" t="s">
        <v>695</v>
      </c>
      <c r="D37" s="13">
        <f t="shared" si="23"/>
        <v>264000</v>
      </c>
      <c r="E37" s="26" t="s">
        <v>31</v>
      </c>
      <c r="F37" s="92">
        <f t="shared" si="16"/>
        <v>0</v>
      </c>
      <c r="G37" s="92">
        <f t="shared" si="17"/>
        <v>0</v>
      </c>
      <c r="H37" s="85">
        <f t="shared" si="18"/>
        <v>0</v>
      </c>
      <c r="I37" s="85">
        <f t="shared" si="19"/>
        <v>0</v>
      </c>
      <c r="J37" s="86">
        <f t="shared" si="20"/>
        <v>0</v>
      </c>
      <c r="K37">
        <f t="shared" si="21"/>
        <v>0</v>
      </c>
      <c r="L37">
        <v>-318.36684782608728</v>
      </c>
      <c r="M37">
        <v>-969.11428571428473</v>
      </c>
      <c r="N37">
        <v>-2163.0357142857138</v>
      </c>
      <c r="O37">
        <v>-189.34593023255783</v>
      </c>
      <c r="P37">
        <v>315974.99999999983</v>
      </c>
      <c r="Q37" s="9">
        <v>26.3</v>
      </c>
      <c r="R37" s="16" t="s">
        <v>54</v>
      </c>
      <c r="S37">
        <v>180000</v>
      </c>
      <c r="T37">
        <v>17499.999999999996</v>
      </c>
      <c r="U37">
        <v>1.75</v>
      </c>
      <c r="V37">
        <v>42.154285714285713</v>
      </c>
      <c r="W37" s="9">
        <v>10.44</v>
      </c>
      <c r="X37">
        <f t="shared" si="24"/>
        <v>5.7142857142857155E-5</v>
      </c>
    </row>
    <row r="38" spans="2:34">
      <c r="B38">
        <f t="shared" si="22"/>
        <v>108000.00000000003</v>
      </c>
      <c r="C38" t="s">
        <v>695</v>
      </c>
      <c r="D38" s="13">
        <f t="shared" si="23"/>
        <v>108000</v>
      </c>
      <c r="E38" s="26" t="s">
        <v>32</v>
      </c>
      <c r="F38" s="92">
        <f t="shared" si="16"/>
        <v>2280753.7915536603</v>
      </c>
      <c r="G38" s="92">
        <f t="shared" si="17"/>
        <v>0</v>
      </c>
      <c r="H38" s="85">
        <f t="shared" si="18"/>
        <v>0</v>
      </c>
      <c r="I38" s="85">
        <f t="shared" si="19"/>
        <v>0</v>
      </c>
      <c r="J38" s="86">
        <f t="shared" si="20"/>
        <v>776310.85714285716</v>
      </c>
      <c r="K38">
        <f t="shared" si="21"/>
        <v>3057064.6486965176</v>
      </c>
      <c r="L38">
        <v>1745.4460547504016</v>
      </c>
      <c r="M38">
        <v>2990.7746031746037</v>
      </c>
      <c r="N38">
        <v>5561.2698412698419</v>
      </c>
      <c r="O38">
        <v>1491.5245478036177</v>
      </c>
      <c r="P38">
        <v>514599.99999999994</v>
      </c>
      <c r="Q38" s="9">
        <v>37.65</v>
      </c>
    </row>
    <row r="39" spans="2:34">
      <c r="B39">
        <f t="shared" si="22"/>
        <v>0</v>
      </c>
      <c r="C39" t="s">
        <v>695</v>
      </c>
      <c r="D39" s="13">
        <f t="shared" si="23"/>
        <v>108000</v>
      </c>
      <c r="E39" s="26" t="s">
        <v>33</v>
      </c>
      <c r="F39" s="92">
        <f t="shared" si="16"/>
        <v>35433.79155366039</v>
      </c>
      <c r="G39" s="92">
        <f t="shared" si="17"/>
        <v>0</v>
      </c>
      <c r="H39" s="85">
        <f t="shared" si="18"/>
        <v>0</v>
      </c>
      <c r="I39" s="85">
        <f t="shared" si="19"/>
        <v>0</v>
      </c>
      <c r="J39" s="86">
        <f t="shared" si="20"/>
        <v>526830.85714285716</v>
      </c>
      <c r="K39">
        <f t="shared" si="21"/>
        <v>562264.64869651757</v>
      </c>
      <c r="L39">
        <v>27.117250402575856</v>
      </c>
      <c r="M39">
        <v>-306.22539682539707</v>
      </c>
      <c r="N39">
        <v>-869.98015873016027</v>
      </c>
      <c r="O39">
        <v>92.033268733849908</v>
      </c>
      <c r="P39">
        <v>349224.99999999994</v>
      </c>
      <c r="Q39" s="9">
        <v>28.2</v>
      </c>
    </row>
    <row r="40" spans="2:34">
      <c r="B40">
        <f t="shared" si="22"/>
        <v>264000</v>
      </c>
      <c r="C40" t="s">
        <v>695</v>
      </c>
      <c r="D40" s="13">
        <f t="shared" si="23"/>
        <v>264000</v>
      </c>
      <c r="E40" s="26" t="s">
        <v>34</v>
      </c>
      <c r="F40" s="92">
        <f t="shared" si="16"/>
        <v>738635.6419992249</v>
      </c>
      <c r="G40" s="92">
        <f t="shared" si="17"/>
        <v>0</v>
      </c>
      <c r="H40" s="85">
        <f t="shared" si="18"/>
        <v>0</v>
      </c>
      <c r="I40" s="85">
        <f t="shared" si="19"/>
        <v>0</v>
      </c>
      <c r="J40" s="86">
        <f t="shared" si="20"/>
        <v>295981.71428571432</v>
      </c>
      <c r="K40">
        <f t="shared" si="21"/>
        <v>1034617.3562849392</v>
      </c>
      <c r="L40">
        <v>1381.7785829307559</v>
      </c>
      <c r="M40">
        <v>2292.9968253968259</v>
      </c>
      <c r="N40">
        <v>4200.1587301587306</v>
      </c>
      <c r="O40">
        <v>1195.3359173126616</v>
      </c>
      <c r="P40">
        <v>479599.99999999994</v>
      </c>
      <c r="Q40" s="9">
        <v>35.65</v>
      </c>
    </row>
    <row r="41" spans="2:34">
      <c r="B41">
        <f t="shared" si="22"/>
        <v>264000.00000000012</v>
      </c>
      <c r="C41" t="s">
        <v>695</v>
      </c>
      <c r="D41" s="13">
        <f t="shared" si="23"/>
        <v>264000</v>
      </c>
      <c r="E41" s="26" t="s">
        <v>35</v>
      </c>
      <c r="F41" s="92">
        <f t="shared" si="16"/>
        <v>0</v>
      </c>
      <c r="G41" s="92">
        <f t="shared" si="17"/>
        <v>0</v>
      </c>
      <c r="H41" s="85">
        <f t="shared" si="18"/>
        <v>0</v>
      </c>
      <c r="I41" s="85">
        <f t="shared" si="19"/>
        <v>0</v>
      </c>
      <c r="J41" s="86">
        <f t="shared" si="20"/>
        <v>0</v>
      </c>
      <c r="K41">
        <f t="shared" si="21"/>
        <v>0</v>
      </c>
      <c r="L41">
        <v>-100.1663647343</v>
      </c>
      <c r="M41">
        <v>-550.44761904761776</v>
      </c>
      <c r="N41">
        <v>-1346.3690476190463</v>
      </c>
      <c r="O41">
        <v>-11.632751937984068</v>
      </c>
      <c r="P41">
        <v>336974.99999999988</v>
      </c>
      <c r="Q41" s="9">
        <v>27.5</v>
      </c>
    </row>
    <row r="42" spans="2:34">
      <c r="B42">
        <f t="shared" si="22"/>
        <v>108000.00000000003</v>
      </c>
      <c r="C42" t="s">
        <v>695</v>
      </c>
      <c r="D42" s="13">
        <f t="shared" si="23"/>
        <v>108000</v>
      </c>
      <c r="E42" s="26" t="s">
        <v>36</v>
      </c>
      <c r="F42" s="92">
        <f t="shared" si="16"/>
        <v>0</v>
      </c>
      <c r="G42" s="92">
        <f t="shared" si="17"/>
        <v>0</v>
      </c>
      <c r="H42" s="85">
        <f t="shared" si="18"/>
        <v>1429090.0185346447</v>
      </c>
      <c r="I42" s="85">
        <f t="shared" si="19"/>
        <v>824179.49740316032</v>
      </c>
      <c r="J42" s="86">
        <f t="shared" si="20"/>
        <v>794790.85714285693</v>
      </c>
      <c r="K42">
        <f t="shared" si="21"/>
        <v>3048060.373080662</v>
      </c>
      <c r="L42">
        <v>1872.7296698872781</v>
      </c>
      <c r="M42">
        <v>3234.9968253968268</v>
      </c>
      <c r="N42">
        <v>6037.6587301587324</v>
      </c>
      <c r="O42">
        <v>1595.1905684754527</v>
      </c>
      <c r="P42">
        <v>526849.99999999977</v>
      </c>
      <c r="Q42" s="9">
        <v>38.35</v>
      </c>
      <c r="T42">
        <v>22657167.581844401</v>
      </c>
      <c r="U42">
        <v>14850785.370815424</v>
      </c>
      <c r="V42">
        <v>3131566.2757412293</v>
      </c>
      <c r="W42">
        <v>15485446.858311698</v>
      </c>
      <c r="X42">
        <v>15363584.981984861</v>
      </c>
      <c r="Y42">
        <v>15241723.105658026</v>
      </c>
      <c r="Z42">
        <v>2976258.209411364</v>
      </c>
      <c r="AA42">
        <v>2924488.8539680755</v>
      </c>
      <c r="AB42">
        <v>2872719.4985247869</v>
      </c>
      <c r="AC42" s="15">
        <v>16852965.861172486</v>
      </c>
      <c r="AD42">
        <v>16934368.382218976</v>
      </c>
      <c r="AE42">
        <v>17015770.903265461</v>
      </c>
      <c r="AF42">
        <v>12193211.240009272</v>
      </c>
      <c r="AG42">
        <v>12223028.887334689</v>
      </c>
      <c r="AH42">
        <v>12252846.534660107</v>
      </c>
    </row>
    <row r="43" spans="2:34">
      <c r="B43">
        <f t="shared" si="22"/>
        <v>0</v>
      </c>
      <c r="C43" t="s">
        <v>695</v>
      </c>
      <c r="D43" s="13">
        <f t="shared" si="23"/>
        <v>108000</v>
      </c>
      <c r="E43" s="26" t="s">
        <v>37</v>
      </c>
      <c r="F43" s="92">
        <f t="shared" si="16"/>
        <v>0</v>
      </c>
      <c r="G43" s="92">
        <f t="shared" si="17"/>
        <v>0</v>
      </c>
      <c r="H43" s="85">
        <f t="shared" si="18"/>
        <v>-232453.15451895041</v>
      </c>
      <c r="I43" s="85">
        <f t="shared" si="19"/>
        <v>0</v>
      </c>
      <c r="J43" s="86">
        <f t="shared" si="20"/>
        <v>534750.85714285704</v>
      </c>
      <c r="K43">
        <f t="shared" si="21"/>
        <v>302297.70262390666</v>
      </c>
      <c r="L43">
        <v>81.667371175522845</v>
      </c>
      <c r="M43">
        <v>-201.55873015872891</v>
      </c>
      <c r="N43">
        <v>-665.81349206349068</v>
      </c>
      <c r="O43">
        <v>136.46156330749395</v>
      </c>
      <c r="P43">
        <v>354474.99999999988</v>
      </c>
      <c r="Q43" s="9">
        <v>28.5</v>
      </c>
      <c r="U43" s="14">
        <f>U42/T42</f>
        <v>0.65545639441337888</v>
      </c>
      <c r="V43" s="14">
        <f>V42/$T$42</f>
        <v>0.13821525856791606</v>
      </c>
      <c r="W43" s="14">
        <f>W42/$T$42</f>
        <v>0.68346790490795806</v>
      </c>
      <c r="X43" s="14">
        <f t="shared" ref="X43:Y43" si="25">X42/$T$42</f>
        <v>0.67808939164558157</v>
      </c>
      <c r="Y43" s="14">
        <f t="shared" si="25"/>
        <v>0.67271087838320509</v>
      </c>
      <c r="Z43" s="14">
        <f t="shared" ref="Z43" si="26">Z42/$T$42</f>
        <v>0.13136055946358863</v>
      </c>
      <c r="AA43" s="14">
        <f t="shared" ref="AA43:AB43" si="27">AA42/$T$42</f>
        <v>0.12907565976214616</v>
      </c>
      <c r="AB43" s="14">
        <f t="shared" si="27"/>
        <v>0.12679076006070367</v>
      </c>
      <c r="AC43" s="14">
        <f>AC42/$T$42</f>
        <v>0.74382491987555732</v>
      </c>
      <c r="AD43" s="14">
        <f t="shared" ref="AD43" si="28">AD42/$T$42</f>
        <v>0.74741771322681971</v>
      </c>
      <c r="AE43" s="14">
        <f t="shared" ref="AE43" si="29">AE42/$T$42</f>
        <v>0.75101050657808199</v>
      </c>
      <c r="AF43" s="14">
        <f t="shared" ref="AF43" si="30">AF42/$T$42</f>
        <v>0.53816132117855342</v>
      </c>
      <c r="AG43" s="14">
        <f t="shared" ref="AG43" si="31">AG42/$T$42</f>
        <v>0.53947735714014067</v>
      </c>
      <c r="AH43" s="14">
        <f t="shared" ref="AH43" si="32">AH42/$T$42</f>
        <v>0.54079339310172803</v>
      </c>
    </row>
    <row r="44" spans="2:34">
      <c r="B44">
        <f t="shared" si="22"/>
        <v>263999.99999999994</v>
      </c>
      <c r="C44" t="s">
        <v>695</v>
      </c>
      <c r="D44" s="13">
        <f t="shared" si="23"/>
        <v>264000</v>
      </c>
      <c r="E44" s="26" t="s">
        <v>38</v>
      </c>
      <c r="F44" s="92">
        <f t="shared" si="16"/>
        <v>0</v>
      </c>
      <c r="G44" s="92">
        <f t="shared" si="17"/>
        <v>0</v>
      </c>
      <c r="H44" s="85">
        <f t="shared" si="18"/>
        <v>546191.58017492667</v>
      </c>
      <c r="I44" s="85">
        <f t="shared" si="19"/>
        <v>0</v>
      </c>
      <c r="J44" s="86">
        <f t="shared" si="20"/>
        <v>264534.85714285704</v>
      </c>
      <c r="K44">
        <f t="shared" si="21"/>
        <v>810726.43731778371</v>
      </c>
      <c r="L44">
        <v>1409.0536433172292</v>
      </c>
      <c r="M44">
        <v>2345.3301587301589</v>
      </c>
      <c r="N44">
        <v>4302.2420634920627</v>
      </c>
      <c r="O44">
        <v>1217.550064599483</v>
      </c>
      <c r="P44">
        <v>482224.99999999983</v>
      </c>
      <c r="Q44" s="9">
        <v>35.799999999999997</v>
      </c>
    </row>
    <row r="45" spans="2:34">
      <c r="B45">
        <f t="shared" si="22"/>
        <v>263999.99999999994</v>
      </c>
      <c r="C45" t="s">
        <v>695</v>
      </c>
      <c r="D45" s="13">
        <f t="shared" si="23"/>
        <v>264000</v>
      </c>
      <c r="E45" s="26" t="s">
        <v>39</v>
      </c>
      <c r="F45" s="92">
        <f t="shared" si="16"/>
        <v>0</v>
      </c>
      <c r="G45" s="92">
        <f t="shared" si="17"/>
        <v>0</v>
      </c>
      <c r="H45" s="85">
        <f t="shared" si="18"/>
        <v>0</v>
      </c>
      <c r="I45" s="85">
        <f t="shared" si="19"/>
        <v>0</v>
      </c>
      <c r="J45" s="86">
        <f t="shared" si="20"/>
        <v>0</v>
      </c>
      <c r="K45">
        <f t="shared" si="21"/>
        <v>0</v>
      </c>
      <c r="L45">
        <v>-72.891304347826846</v>
      </c>
      <c r="M45">
        <v>-498.1142857142849</v>
      </c>
      <c r="N45">
        <v>-1244.285714285714</v>
      </c>
      <c r="O45">
        <v>10.581395348837423</v>
      </c>
      <c r="P45">
        <v>339600</v>
      </c>
      <c r="Q45" s="9">
        <v>27.65</v>
      </c>
    </row>
    <row r="46" spans="2:34">
      <c r="B46">
        <f t="shared" si="22"/>
        <v>95999.999999999985</v>
      </c>
      <c r="C46" t="s">
        <v>695</v>
      </c>
      <c r="D46" s="13">
        <f t="shared" si="23"/>
        <v>96000</v>
      </c>
      <c r="E46" s="26" t="s">
        <v>40</v>
      </c>
      <c r="F46" s="92">
        <f t="shared" si="16"/>
        <v>0</v>
      </c>
      <c r="G46" s="92">
        <f t="shared" si="17"/>
        <v>0</v>
      </c>
      <c r="H46" s="85">
        <f t="shared" si="18"/>
        <v>3225472.8979591825</v>
      </c>
      <c r="I46" s="85">
        <f t="shared" si="19"/>
        <v>0</v>
      </c>
      <c r="J46" s="86">
        <f t="shared" si="20"/>
        <v>893484</v>
      </c>
      <c r="K46">
        <f t="shared" si="21"/>
        <v>4118956.8979591825</v>
      </c>
      <c r="L46">
        <v>2845.5401570048307</v>
      </c>
      <c r="M46">
        <v>5101.5523809523829</v>
      </c>
      <c r="N46">
        <v>9678.6309523809559</v>
      </c>
      <c r="O46">
        <v>2387.49515503876</v>
      </c>
      <c r="P46">
        <v>620474.99999999988</v>
      </c>
      <c r="Q46" s="9">
        <v>43.7</v>
      </c>
      <c r="T46">
        <f>T42*109.81%</f>
        <v>24879835.721623339</v>
      </c>
      <c r="U46">
        <f>T42*109.07%</f>
        <v>24712172.681517687</v>
      </c>
      <c r="V46">
        <f>108.32%*T42</f>
        <v>24542243.924653854</v>
      </c>
    </row>
    <row r="47" spans="2:34">
      <c r="B47">
        <f t="shared" si="22"/>
        <v>0</v>
      </c>
      <c r="C47" t="s">
        <v>695</v>
      </c>
      <c r="D47" s="13">
        <f t="shared" si="23"/>
        <v>96000</v>
      </c>
      <c r="E47" s="26" t="s">
        <v>41</v>
      </c>
      <c r="F47" s="92">
        <f t="shared" si="16"/>
        <v>0</v>
      </c>
      <c r="G47" s="92">
        <f t="shared" si="17"/>
        <v>0</v>
      </c>
      <c r="H47" s="85">
        <f t="shared" si="18"/>
        <v>503872.8979591832</v>
      </c>
      <c r="I47" s="85">
        <f t="shared" si="19"/>
        <v>0</v>
      </c>
      <c r="J47" s="86">
        <f t="shared" si="20"/>
        <v>591084</v>
      </c>
      <c r="K47">
        <f t="shared" si="21"/>
        <v>1094956.8979591832</v>
      </c>
      <c r="L47">
        <v>663.53532608695582</v>
      </c>
      <c r="M47">
        <v>914.8857142857139</v>
      </c>
      <c r="N47">
        <v>1511.9642857142842</v>
      </c>
      <c r="O47">
        <v>610.36337209302292</v>
      </c>
      <c r="P47">
        <v>410474.99999999994</v>
      </c>
      <c r="Q47" s="9">
        <v>31.7</v>
      </c>
      <c r="T47">
        <v>24864909.560822312</v>
      </c>
      <c r="U47">
        <v>24692959.981752072</v>
      </c>
      <c r="V47">
        <v>24521010.399999999</v>
      </c>
    </row>
    <row r="48" spans="2:34">
      <c r="B48">
        <f t="shared" si="22"/>
        <v>251999.99999999988</v>
      </c>
      <c r="C48" t="s">
        <v>695</v>
      </c>
      <c r="D48" s="13">
        <f t="shared" si="23"/>
        <v>252000</v>
      </c>
      <c r="E48" s="26" t="s">
        <v>42</v>
      </c>
      <c r="F48" s="92">
        <f t="shared" si="16"/>
        <v>0</v>
      </c>
      <c r="G48" s="92">
        <f t="shared" si="17"/>
        <v>0</v>
      </c>
      <c r="H48" s="85">
        <f t="shared" si="18"/>
        <v>995939.47521865892</v>
      </c>
      <c r="I48" s="85">
        <f t="shared" si="19"/>
        <v>0</v>
      </c>
      <c r="J48" s="86">
        <f t="shared" si="20"/>
        <v>365468.5714285713</v>
      </c>
      <c r="K48">
        <f t="shared" si="21"/>
        <v>1361408.0466472302</v>
      </c>
      <c r="L48">
        <v>1936.3714774557163</v>
      </c>
      <c r="M48">
        <v>3357.1079365079386</v>
      </c>
      <c r="N48">
        <v>6275.8531746031776</v>
      </c>
      <c r="O48">
        <v>1647.02357881137</v>
      </c>
      <c r="P48">
        <v>532974.99999999988</v>
      </c>
      <c r="Q48" s="9">
        <v>38.700000000000003</v>
      </c>
      <c r="T48">
        <f>T47/T42</f>
        <v>1.0974412168247816</v>
      </c>
      <c r="U48">
        <f>U47/T42</f>
        <v>1.0898520255258644</v>
      </c>
      <c r="V48">
        <f>V47/T42</f>
        <v>1.0822628341085816</v>
      </c>
    </row>
    <row r="49" spans="1:17">
      <c r="B49">
        <f t="shared" si="22"/>
        <v>251999.99999999988</v>
      </c>
      <c r="C49" t="s">
        <v>695</v>
      </c>
      <c r="D49" s="13">
        <f t="shared" si="23"/>
        <v>252000</v>
      </c>
      <c r="E49" s="73" t="s">
        <v>43</v>
      </c>
      <c r="F49" s="92">
        <f t="shared" si="16"/>
        <v>0</v>
      </c>
      <c r="G49" s="92">
        <f t="shared" si="17"/>
        <v>0</v>
      </c>
      <c r="H49" s="85">
        <f t="shared" si="18"/>
        <v>67139.475218658816</v>
      </c>
      <c r="I49" s="85">
        <f t="shared" si="19"/>
        <v>0</v>
      </c>
      <c r="J49" s="86">
        <f t="shared" si="20"/>
        <v>262268.5714285713</v>
      </c>
      <c r="K49">
        <f t="shared" si="21"/>
        <v>329408.04664723011</v>
      </c>
      <c r="L49">
        <v>372.60134863123966</v>
      </c>
      <c r="M49">
        <v>356.66349206349378</v>
      </c>
      <c r="N49">
        <v>423.07539682539914</v>
      </c>
      <c r="O49">
        <v>373.41246770025896</v>
      </c>
      <c r="P49">
        <v>382474.99999999977</v>
      </c>
      <c r="Q49" s="9">
        <v>30.1</v>
      </c>
    </row>
    <row r="50" spans="1:17">
      <c r="B50">
        <f t="shared" si="22"/>
        <v>119999.99999999994</v>
      </c>
      <c r="C50" t="s">
        <v>695</v>
      </c>
      <c r="D50" s="13">
        <f t="shared" si="23"/>
        <v>120000</v>
      </c>
      <c r="F50" s="12">
        <f>SUM(F30:F49)</f>
        <v>7993631.4653235134</v>
      </c>
      <c r="G50" s="85">
        <f>F27*($F$3*M27*0.35/3.6-0.65*F$3*0.35/3.6-$F$2-0.8*0.87*15)</f>
        <v>0</v>
      </c>
      <c r="H50" s="12">
        <f t="shared" ref="H50:J50" si="33">SUM(H30:H49)</f>
        <v>6535253.1905463049</v>
      </c>
      <c r="I50" s="12">
        <f t="shared" si="33"/>
        <v>824179.49740316032</v>
      </c>
      <c r="J50" s="12">
        <f t="shared" si="33"/>
        <v>7304103.4285714272</v>
      </c>
      <c r="K50">
        <f>SUM(F50:J50)</f>
        <v>22657167.581844404</v>
      </c>
    </row>
    <row r="51" spans="1:17">
      <c r="B51">
        <f t="shared" si="22"/>
        <v>119999.99999999997</v>
      </c>
      <c r="C51" t="s">
        <v>695</v>
      </c>
      <c r="D51" s="13">
        <f t="shared" si="23"/>
        <v>120000</v>
      </c>
    </row>
    <row r="52" spans="1:17">
      <c r="A52" t="s">
        <v>707</v>
      </c>
      <c r="B52">
        <f>0.9*T7 - 0.1*X7</f>
        <v>0</v>
      </c>
      <c r="C52" t="s">
        <v>695</v>
      </c>
      <c r="D52" s="13">
        <v>0</v>
      </c>
      <c r="F52">
        <f>F50</f>
        <v>7993631.4653235134</v>
      </c>
      <c r="G52">
        <f>G50</f>
        <v>0</v>
      </c>
      <c r="H52">
        <f>H50</f>
        <v>6535253.1905463049</v>
      </c>
      <c r="I52">
        <f>I50</f>
        <v>824179.49740316032</v>
      </c>
      <c r="J52">
        <f>J50</f>
        <v>7304103.4285714272</v>
      </c>
      <c r="K52">
        <f>SUM(F52:J52)</f>
        <v>22657167.581844404</v>
      </c>
    </row>
    <row r="53" spans="1:17">
      <c r="B53">
        <f t="shared" ref="B53:B71" si="34">0.9*T8 - 0.1*X8</f>
        <v>0</v>
      </c>
      <c r="C53" t="s">
        <v>695</v>
      </c>
      <c r="D53" s="13">
        <v>0</v>
      </c>
      <c r="E53" t="s">
        <v>708</v>
      </c>
      <c r="F53">
        <f>E27*E3*0.35/3.6</f>
        <v>1231200.0000000002</v>
      </c>
      <c r="G53">
        <f t="shared" ref="G53:J53" si="35">F27*F3*0.35/3.6</f>
        <v>0</v>
      </c>
      <c r="H53">
        <f>G27*G3*0.35/3.6</f>
        <v>1154684.8169746043</v>
      </c>
      <c r="I53">
        <f t="shared" si="35"/>
        <v>76515.183025395076</v>
      </c>
      <c r="J53">
        <f t="shared" si="35"/>
        <v>273600.00000000012</v>
      </c>
      <c r="K53">
        <f>SUM(F53:J53)</f>
        <v>2735999.9999999995</v>
      </c>
    </row>
    <row r="54" spans="1:17">
      <c r="B54">
        <f t="shared" si="34"/>
        <v>0</v>
      </c>
      <c r="C54" t="s">
        <v>695</v>
      </c>
      <c r="D54" s="13">
        <v>0</v>
      </c>
      <c r="E54" t="s">
        <v>709</v>
      </c>
      <c r="F54">
        <f>F53*0.8*0.87*15</f>
        <v>12853728.000000004</v>
      </c>
      <c r="G54">
        <f t="shared" ref="G54:J54" si="36">G53*0.8*0.87*15</f>
        <v>0</v>
      </c>
      <c r="H54">
        <f t="shared" si="36"/>
        <v>12054909.489214869</v>
      </c>
      <c r="I54">
        <f t="shared" si="36"/>
        <v>798818.51078512473</v>
      </c>
      <c r="J54">
        <f t="shared" si="36"/>
        <v>2856384.0000000014</v>
      </c>
      <c r="K54">
        <f t="shared" ref="K54:K58" si="37">SUM(F54:J54)</f>
        <v>28563840</v>
      </c>
    </row>
    <row r="55" spans="1:17">
      <c r="B55">
        <f t="shared" si="34"/>
        <v>0</v>
      </c>
      <c r="C55" t="s">
        <v>695</v>
      </c>
      <c r="D55" s="13">
        <v>0</v>
      </c>
      <c r="E55" t="s">
        <v>12</v>
      </c>
      <c r="F55">
        <f>F52+F54+F56+F57</f>
        <v>42529860</v>
      </c>
      <c r="G55">
        <f t="shared" ref="G55:K55" si="38">G52+G54+G56+G57</f>
        <v>0</v>
      </c>
      <c r="H55">
        <f t="shared" si="38"/>
        <v>40573442.730976075</v>
      </c>
      <c r="I55">
        <f t="shared" si="38"/>
        <v>2934357.2690239018</v>
      </c>
      <c r="J55">
        <f t="shared" si="38"/>
        <v>21871740.000000007</v>
      </c>
      <c r="K55">
        <f t="shared" si="37"/>
        <v>107909399.99999997</v>
      </c>
      <c r="L55">
        <v>33713477.421773203</v>
      </c>
    </row>
    <row r="56" spans="1:17">
      <c r="B56">
        <f t="shared" si="34"/>
        <v>0</v>
      </c>
      <c r="C56" t="s">
        <v>695</v>
      </c>
      <c r="D56" s="13">
        <v>0</v>
      </c>
      <c r="E56" t="s">
        <v>710</v>
      </c>
      <c r="F56">
        <f>0.65*F53</f>
        <v>800280.00000000023</v>
      </c>
      <c r="G56">
        <f t="shared" ref="G56:J56" si="39">0.65*G53</f>
        <v>0</v>
      </c>
      <c r="H56">
        <f>0.65*H53</f>
        <v>750545.13103349286</v>
      </c>
      <c r="I56">
        <f t="shared" si="39"/>
        <v>49734.868966506801</v>
      </c>
      <c r="J56">
        <f t="shared" si="39"/>
        <v>177840.00000000009</v>
      </c>
      <c r="K56">
        <f t="shared" si="37"/>
        <v>1778400</v>
      </c>
      <c r="L56">
        <f>SUM(K57+K56+K54)</f>
        <v>85252232.418155581</v>
      </c>
      <c r="M56">
        <v>30374833.724258799</v>
      </c>
      <c r="N56" s="9">
        <v>27.5</v>
      </c>
    </row>
    <row r="57" spans="1:17">
      <c r="B57">
        <f t="shared" si="34"/>
        <v>0</v>
      </c>
      <c r="C57" t="s">
        <v>695</v>
      </c>
      <c r="D57" s="13">
        <v>0</v>
      </c>
      <c r="E57" t="s">
        <v>711</v>
      </c>
      <c r="F57">
        <f>E27*E2</f>
        <v>20882220.534676488</v>
      </c>
      <c r="G57">
        <f t="shared" ref="G57:J57" si="40">F27*F2</f>
        <v>0</v>
      </c>
      <c r="H57">
        <f t="shared" si="40"/>
        <v>21232734.920181412</v>
      </c>
      <c r="I57">
        <f t="shared" si="40"/>
        <v>1261624.3918691098</v>
      </c>
      <c r="J57">
        <f t="shared" si="40"/>
        <v>11533412.571428576</v>
      </c>
      <c r="K57">
        <f t="shared" si="37"/>
        <v>54909992.418155588</v>
      </c>
    </row>
    <row r="58" spans="1:17">
      <c r="B58">
        <f t="shared" si="34"/>
        <v>0</v>
      </c>
      <c r="C58" t="s">
        <v>695</v>
      </c>
      <c r="D58" s="13">
        <v>0</v>
      </c>
      <c r="E58" s="47" t="s">
        <v>712</v>
      </c>
      <c r="F58">
        <f>E27*E4*0.01</f>
        <v>6771.0207560746121</v>
      </c>
      <c r="G58">
        <f t="shared" ref="G58:J58" si="41">F27*F4*0.01</f>
        <v>0</v>
      </c>
      <c r="H58">
        <f t="shared" si="41"/>
        <v>1696.679731064725</v>
      </c>
      <c r="I58">
        <f t="shared" si="41"/>
        <v>516.66522714639734</v>
      </c>
      <c r="J58">
        <f t="shared" si="41"/>
        <v>15.634285714285722</v>
      </c>
      <c r="K58">
        <f t="shared" si="37"/>
        <v>9000.00000000002</v>
      </c>
    </row>
    <row r="59" spans="1:17">
      <c r="B59">
        <f t="shared" si="34"/>
        <v>0</v>
      </c>
      <c r="C59" t="s">
        <v>695</v>
      </c>
      <c r="D59" s="13">
        <v>0</v>
      </c>
      <c r="E59" t="s">
        <v>713</v>
      </c>
      <c r="F59">
        <f>F58*40</f>
        <v>270840.83024298446</v>
      </c>
      <c r="G59">
        <f t="shared" ref="G59:J59" si="42">G58*40</f>
        <v>0</v>
      </c>
      <c r="H59">
        <f t="shared" si="42"/>
        <v>67867.189242588996</v>
      </c>
      <c r="I59">
        <f t="shared" si="42"/>
        <v>20666.609085855893</v>
      </c>
      <c r="J59">
        <f t="shared" si="42"/>
        <v>625.37142857142885</v>
      </c>
    </row>
    <row r="60" spans="1:17">
      <c r="B60">
        <f t="shared" si="34"/>
        <v>0</v>
      </c>
      <c r="C60" t="s">
        <v>695</v>
      </c>
      <c r="D60" s="13">
        <v>0</v>
      </c>
    </row>
    <row r="61" spans="1:17">
      <c r="B61">
        <f t="shared" si="34"/>
        <v>0</v>
      </c>
      <c r="C61" t="s">
        <v>695</v>
      </c>
      <c r="D61" s="13">
        <v>0</v>
      </c>
    </row>
    <row r="62" spans="1:17">
      <c r="B62">
        <f t="shared" si="34"/>
        <v>0</v>
      </c>
      <c r="C62" t="s">
        <v>695</v>
      </c>
      <c r="D62" s="13">
        <v>0</v>
      </c>
    </row>
    <row r="63" spans="1:17">
      <c r="B63">
        <f t="shared" si="34"/>
        <v>0</v>
      </c>
      <c r="C63" t="s">
        <v>695</v>
      </c>
      <c r="D63" s="13">
        <v>0</v>
      </c>
    </row>
    <row r="64" spans="1:17">
      <c r="B64">
        <f t="shared" si="34"/>
        <v>0</v>
      </c>
      <c r="C64" t="s">
        <v>695</v>
      </c>
      <c r="D64" s="13">
        <v>0</v>
      </c>
      <c r="F64" t="s">
        <v>708</v>
      </c>
      <c r="G64" t="s">
        <v>709</v>
      </c>
      <c r="H64" t="s">
        <v>12</v>
      </c>
      <c r="I64" t="s">
        <v>710</v>
      </c>
      <c r="J64" t="s">
        <v>711</v>
      </c>
      <c r="K64" t="s">
        <v>712</v>
      </c>
    </row>
    <row r="65" spans="1:11">
      <c r="B65">
        <f t="shared" si="34"/>
        <v>0</v>
      </c>
      <c r="C65" t="s">
        <v>695</v>
      </c>
      <c r="D65" s="13">
        <v>0</v>
      </c>
      <c r="E65" s="82" t="s">
        <v>50</v>
      </c>
      <c r="F65">
        <v>1231200.0000000002</v>
      </c>
      <c r="G65">
        <v>12853728.000000004</v>
      </c>
      <c r="H65">
        <v>42529860</v>
      </c>
      <c r="I65">
        <v>800280.00000000023</v>
      </c>
      <c r="J65">
        <v>20882220.534676488</v>
      </c>
      <c r="K65">
        <v>6771.0207560746121</v>
      </c>
    </row>
    <row r="66" spans="1:11">
      <c r="B66">
        <f t="shared" si="34"/>
        <v>0</v>
      </c>
      <c r="C66" t="s">
        <v>695</v>
      </c>
      <c r="D66" s="13">
        <v>0</v>
      </c>
      <c r="E66" s="82" t="s">
        <v>51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B67">
        <f t="shared" si="34"/>
        <v>0</v>
      </c>
      <c r="C67" t="s">
        <v>695</v>
      </c>
      <c r="D67" s="13">
        <v>0</v>
      </c>
      <c r="E67" s="82" t="s">
        <v>52</v>
      </c>
      <c r="F67">
        <v>1154684.8169746043</v>
      </c>
      <c r="G67">
        <v>12054909.489214869</v>
      </c>
      <c r="H67">
        <v>40573442.730976075</v>
      </c>
      <c r="I67">
        <v>750545.13103349286</v>
      </c>
      <c r="J67">
        <v>21232734.920181412</v>
      </c>
      <c r="K67">
        <v>1696.679731064725</v>
      </c>
    </row>
    <row r="68" spans="1:11">
      <c r="B68">
        <f t="shared" si="34"/>
        <v>0</v>
      </c>
      <c r="C68" t="s">
        <v>695</v>
      </c>
      <c r="D68" s="13">
        <v>0</v>
      </c>
      <c r="E68" s="82" t="s">
        <v>53</v>
      </c>
      <c r="F68">
        <v>76515.183025395076</v>
      </c>
      <c r="G68">
        <v>798818.51078512473</v>
      </c>
      <c r="H68">
        <v>2934357.2690239018</v>
      </c>
      <c r="I68">
        <v>49734.868966506801</v>
      </c>
      <c r="J68">
        <v>1261624.3918691098</v>
      </c>
      <c r="K68">
        <v>516.66522714639734</v>
      </c>
    </row>
    <row r="69" spans="1:11">
      <c r="B69">
        <f t="shared" si="34"/>
        <v>0</v>
      </c>
      <c r="C69" t="s">
        <v>695</v>
      </c>
      <c r="D69" s="13">
        <v>0</v>
      </c>
      <c r="E69" s="82" t="s">
        <v>54</v>
      </c>
      <c r="F69">
        <v>273600.00000000012</v>
      </c>
      <c r="G69">
        <v>2856384.0000000014</v>
      </c>
      <c r="H69">
        <v>21871740.000000007</v>
      </c>
      <c r="I69">
        <v>177840.00000000009</v>
      </c>
      <c r="J69">
        <v>11533412.571428576</v>
      </c>
      <c r="K69">
        <v>15.634285714285722</v>
      </c>
    </row>
    <row r="70" spans="1:11">
      <c r="B70">
        <f t="shared" si="34"/>
        <v>0</v>
      </c>
      <c r="C70" t="s">
        <v>695</v>
      </c>
      <c r="D70" s="13">
        <v>0</v>
      </c>
      <c r="E70" s="48" t="s">
        <v>612</v>
      </c>
      <c r="F70">
        <v>2735999.9999999995</v>
      </c>
      <c r="G70">
        <v>28563840</v>
      </c>
      <c r="H70">
        <v>107909400</v>
      </c>
      <c r="I70">
        <v>1778400</v>
      </c>
      <c r="J70">
        <v>54909992.418155588</v>
      </c>
      <c r="K70">
        <v>9000.00000000002</v>
      </c>
    </row>
    <row r="71" spans="1:11">
      <c r="B71">
        <f t="shared" si="34"/>
        <v>0</v>
      </c>
      <c r="C71" t="s">
        <v>695</v>
      </c>
      <c r="D71" s="13">
        <v>0</v>
      </c>
      <c r="I71">
        <f>SUM(I70+J70+G70)</f>
        <v>85252232.418155581</v>
      </c>
    </row>
    <row r="72" spans="1:11">
      <c r="A72" t="s">
        <v>689</v>
      </c>
      <c r="B72">
        <f>SUM(D7:D26)</f>
        <v>10000000</v>
      </c>
      <c r="C72" t="s">
        <v>714</v>
      </c>
      <c r="D72" s="13">
        <v>10000000</v>
      </c>
      <c r="I72">
        <v>85252232.418155596</v>
      </c>
    </row>
    <row r="74" spans="1:11">
      <c r="F74" t="s">
        <v>708</v>
      </c>
      <c r="G74" t="s">
        <v>709</v>
      </c>
      <c r="H74" t="s">
        <v>12</v>
      </c>
      <c r="I74" t="s">
        <v>710</v>
      </c>
      <c r="J74" t="s">
        <v>711</v>
      </c>
      <c r="K74" t="s">
        <v>712</v>
      </c>
    </row>
    <row r="75" spans="1:11">
      <c r="E75" s="82" t="s">
        <v>50</v>
      </c>
      <c r="F75">
        <v>1505583.3333333333</v>
      </c>
      <c r="G75">
        <v>15718290.000000002</v>
      </c>
      <c r="H75">
        <v>49986810.000000007</v>
      </c>
      <c r="I75">
        <v>978629.16666666663</v>
      </c>
      <c r="J75">
        <v>25536000.000000007</v>
      </c>
      <c r="K75">
        <v>8280.0000000000018</v>
      </c>
    </row>
    <row r="76" spans="1:11">
      <c r="E76" s="82" t="s">
        <v>51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E77" s="82" t="s">
        <v>52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E78" s="82" t="s">
        <v>53</v>
      </c>
      <c r="F78">
        <v>1317599.9999999995</v>
      </c>
      <c r="G78">
        <v>13755743.999999996</v>
      </c>
      <c r="H78">
        <v>45896759.999999985</v>
      </c>
      <c r="I78">
        <v>856439.99999999977</v>
      </c>
      <c r="J78">
        <v>21725312.977099232</v>
      </c>
      <c r="K78">
        <v>8897.032933478733</v>
      </c>
    </row>
    <row r="79" spans="1:11">
      <c r="E79" s="82" t="s">
        <v>54</v>
      </c>
      <c r="F79">
        <v>313687.03703703708</v>
      </c>
      <c r="G79">
        <v>3274892.666666667</v>
      </c>
      <c r="H79">
        <v>24769646.666666664</v>
      </c>
      <c r="I79">
        <v>203896.5740740741</v>
      </c>
      <c r="J79">
        <v>13223252.984126985</v>
      </c>
      <c r="K79">
        <v>17.924973544973547</v>
      </c>
    </row>
    <row r="80" spans="1:11">
      <c r="E80" s="48" t="s">
        <v>612</v>
      </c>
      <c r="F80">
        <v>3136870.3703703699</v>
      </c>
      <c r="G80">
        <v>32748926.666666668</v>
      </c>
      <c r="H80">
        <v>120653216.666667</v>
      </c>
      <c r="I80">
        <v>2038965.7407407407</v>
      </c>
      <c r="J80">
        <v>60484565.961226225</v>
      </c>
      <c r="K80">
        <v>17194.957907023701</v>
      </c>
    </row>
    <row r="81" spans="5:9">
      <c r="I81">
        <f>SUM(I80+J80+G80+K80*50)</f>
        <v>96132206.263984814</v>
      </c>
    </row>
    <row r="82" spans="5:9">
      <c r="I82">
        <f>H80-I81</f>
        <v>24521010.402682185</v>
      </c>
    </row>
    <row r="83" spans="5:9">
      <c r="I83">
        <v>96132206.263984799</v>
      </c>
    </row>
    <row r="87" spans="5:9">
      <c r="E87">
        <v>24864909.560822312</v>
      </c>
    </row>
    <row r="88" spans="5:9">
      <c r="E88">
        <v>24521010.399999999</v>
      </c>
    </row>
  </sheetData>
  <mergeCells count="1">
    <mergeCell ref="L28:P28"/>
  </mergeCells>
  <pageMargins left="0.75" right="0.75" top="1" bottom="1" header="0.5" footer="0.5"/>
  <ignoredErrors>
    <ignoredError sqref="J8:K26 C7:C27 K7 U7 Q8:Q26 Q7 S7:T7 S8:U2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2025-10-15T17:10:58Z</dcterms:created>
  <dcterms:modified xsi:type="dcterms:W3CDTF">2025-11-19T12:29:52Z</dcterms:modified>
  <cp:category/>
  <cp:contentStatus/>
</cp:coreProperties>
</file>